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P2_le_grand_marche_Behillil_Fahima_06.23\"/>
    </mc:Choice>
  </mc:AlternateContent>
  <xr:revisionPtr revIDLastSave="0" documentId="8_{26CCEAEE-1266-4999-BA62-8AD9D22E39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 BOARD GM" sheetId="1" r:id="rId1"/>
    <sheet name="DATA" sheetId="2" r:id="rId2"/>
    <sheet name="TOP 10" sheetId="3" r:id="rId3"/>
    <sheet name="Repartition TOP 10" sheetId="4" r:id="rId4"/>
    <sheet name="Tableau Client x Catégorie" sheetId="5" r:id="rId5"/>
  </sheets>
  <definedNames>
    <definedName name="_xlnm._FilterDatabase" localSheetId="2" hidden="1">'TOP 10'!$C$1:$C$1000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D14" i="1"/>
  <c r="C14" i="1"/>
  <c r="G10" i="1"/>
  <c r="F10" i="1"/>
  <c r="E10" i="1"/>
  <c r="D10" i="1"/>
  <c r="C10" i="1"/>
  <c r="H9" i="1"/>
  <c r="I9" i="1" s="1"/>
  <c r="H8" i="1"/>
  <c r="I8" i="1" s="1"/>
  <c r="H7" i="1"/>
  <c r="H10" i="1" s="1"/>
  <c r="I10" i="1" l="1"/>
  <c r="I7" i="1"/>
</calcChain>
</file>

<file path=xl/sharedStrings.xml><?xml version="1.0" encoding="utf-8"?>
<sst xmlns="http://schemas.openxmlformats.org/spreadsheetml/2006/main" count="719" uniqueCount="38">
  <si>
    <t>Analyse des ventes mensuelle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</si>
  <si>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</si>
  <si>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</si>
  <si>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</si>
  <si>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</si>
  <si>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</si>
  <si>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</si>
  <si>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</si>
  <si>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</si>
  <si>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</si>
  <si>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</si>
  <si>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</si>
  <si>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</si>
  <si>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</si>
  <si>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</si>
  <si>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</si>
  <si>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</si>
  <si>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 xml:space="preserve">Chiffre d'affaires au sein de chaque catégorie </t>
  </si>
  <si>
    <t xml:space="preserve">Chiffre d'affaires total pour chaque catégorie </t>
  </si>
  <si>
    <t>Top 10 des clients avec le détail par catégorie (février)</t>
  </si>
  <si>
    <t>Montant du panier en fonction du temps passé sur le site pour les clients affiliés (Pour le mois de Février)</t>
  </si>
  <si>
    <t>Chiffre d'affaires par catégorie en pourcentage (février)</t>
  </si>
  <si>
    <t>client affilié</t>
  </si>
  <si>
    <t>temps d'achat</t>
  </si>
  <si>
    <t>montant d'achat</t>
  </si>
  <si>
    <t>catégorie d'achat</t>
  </si>
  <si>
    <t>-</t>
  </si>
  <si>
    <t>CLIENTS AFFILIES</t>
  </si>
  <si>
    <t>Temps d'achat</t>
  </si>
  <si>
    <t>Montant</t>
  </si>
  <si>
    <t xml:space="preserve"> </t>
  </si>
  <si>
    <t>Valeurs</t>
  </si>
  <si>
    <t>Total général</t>
  </si>
  <si>
    <t>Nombre d'achats par clients, chiffre d'affaires par catégorie et total</t>
  </si>
  <si>
    <t>N° client</t>
  </si>
  <si>
    <t>Nbre d'achat</t>
  </si>
  <si>
    <t xml:space="preserve"> montant d'achat</t>
  </si>
  <si>
    <t>COUNTA of catégorie d'achat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</si>
</sst>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[$€]"/>
    <numFmt numFmtId="165" formatCode="#,##0\ &quot;€&quot;"/>
    <numFmt numFmtId="166" formatCode="#,##0\ [$€-1]"/>
    <numFmt numFmtId="167" formatCode="_-* #,##0.00\ &quot;€&quot;_-;\-* #,##0.00\ &quot;€&quot;_-;_-* &quot;-&quot;??\ &quot;€&quot;_-;_-@"/>
  </numFmts>
  <fonts count="17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rgb="FFFFFFFF"/>
      <name val="Calibri"/>
    </font>
    <font>
      <sz val="11"/>
      <name val="Calibri"/>
    </font>
    <font>
      <sz val="12"/>
      <color theme="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theme="0"/>
      <name val="Calibri"/>
    </font>
    <font>
      <sz val="11"/>
      <color rgb="FF000000"/>
      <name val="Calibri"/>
    </font>
    <font>
      <sz val="9"/>
      <color rgb="FF000000"/>
      <name val="&quot;Google Sans Mono&quot;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i/>
      <sz val="18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0" xfId="0" applyFont="1" applyFill="1"/>
    <xf numFmtId="0" fontId="1" fillId="2" borderId="7" xfId="0" applyFont="1" applyFill="1" applyBorder="1"/>
    <xf numFmtId="0" fontId="4" fillId="0" borderId="0" xfId="0" applyFont="1"/>
    <xf numFmtId="0" fontId="1" fillId="2" borderId="12" xfId="0" applyFont="1" applyFill="1" applyBorder="1"/>
    <xf numFmtId="0" fontId="4" fillId="2" borderId="0" xfId="0" applyFont="1" applyFill="1"/>
    <xf numFmtId="0" fontId="4" fillId="2" borderId="17" xfId="0" applyFont="1" applyFill="1" applyBorder="1" applyAlignment="1">
      <alignment horizontal="center" vertical="center"/>
    </xf>
    <xf numFmtId="165" fontId="4" fillId="2" borderId="18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/>
    </xf>
    <xf numFmtId="165" fontId="8" fillId="2" borderId="16" xfId="0" applyNumberFormat="1" applyFont="1" applyFill="1" applyBorder="1" applyAlignment="1">
      <alignment horizontal="center"/>
    </xf>
    <xf numFmtId="0" fontId="1" fillId="2" borderId="21" xfId="0" applyFont="1" applyFill="1" applyBorder="1"/>
    <xf numFmtId="0" fontId="4" fillId="5" borderId="22" xfId="0" applyFont="1" applyFill="1" applyBorder="1" applyAlignment="1">
      <alignment horizontal="center" vertical="center"/>
    </xf>
    <xf numFmtId="165" fontId="4" fillId="5" borderId="18" xfId="0" applyNumberFormat="1" applyFont="1" applyFill="1" applyBorder="1" applyAlignment="1">
      <alignment horizontal="center" vertical="center"/>
    </xf>
    <xf numFmtId="165" fontId="4" fillId="5" borderId="19" xfId="0" applyNumberFormat="1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/>
    </xf>
    <xf numFmtId="165" fontId="8" fillId="5" borderId="23" xfId="0" applyNumberFormat="1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 vertical="center"/>
    </xf>
    <xf numFmtId="165" fontId="4" fillId="2" borderId="26" xfId="0" applyNumberFormat="1" applyFont="1" applyFill="1" applyBorder="1" applyAlignment="1">
      <alignment horizontal="center" vertical="center"/>
    </xf>
    <xf numFmtId="164" fontId="9" fillId="2" borderId="27" xfId="0" applyNumberFormat="1" applyFont="1" applyFill="1" applyBorder="1" applyAlignment="1">
      <alignment horizontal="center" vertical="center"/>
    </xf>
    <xf numFmtId="165" fontId="8" fillId="2" borderId="11" xfId="0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165" fontId="6" fillId="4" borderId="28" xfId="0" applyNumberFormat="1" applyFont="1" applyFill="1" applyBorder="1" applyAlignment="1">
      <alignment horizontal="center" vertical="center"/>
    </xf>
    <xf numFmtId="165" fontId="6" fillId="4" borderId="29" xfId="0" applyNumberFormat="1" applyFont="1" applyFill="1" applyBorder="1" applyAlignment="1">
      <alignment horizontal="center" vertical="center"/>
    </xf>
    <xf numFmtId="165" fontId="6" fillId="4" borderId="30" xfId="0" applyNumberFormat="1" applyFont="1" applyFill="1" applyBorder="1" applyAlignment="1">
      <alignment horizontal="center" vertical="center"/>
    </xf>
    <xf numFmtId="165" fontId="6" fillId="4" borderId="23" xfId="0" applyNumberFormat="1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6" fillId="4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19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166" fontId="1" fillId="0" borderId="19" xfId="0" applyNumberFormat="1" applyFont="1" applyBorder="1" applyAlignment="1">
      <alignment horizontal="center" vertical="center"/>
    </xf>
    <xf numFmtId="0" fontId="12" fillId="6" borderId="0" xfId="0" applyFont="1" applyFill="1"/>
    <xf numFmtId="0" fontId="1" fillId="7" borderId="19" xfId="0" applyFont="1" applyFill="1" applyBorder="1" applyAlignment="1">
      <alignment horizontal="center"/>
    </xf>
    <xf numFmtId="0" fontId="11" fillId="7" borderId="19" xfId="0" applyFont="1" applyFill="1" applyBorder="1" applyAlignment="1">
      <alignment horizontal="center"/>
    </xf>
    <xf numFmtId="166" fontId="13" fillId="7" borderId="19" xfId="0" applyNumberFormat="1" applyFont="1" applyFill="1" applyBorder="1" applyAlignment="1">
      <alignment horizontal="center"/>
    </xf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14" fillId="0" borderId="0" xfId="0" applyFont="1"/>
    <xf numFmtId="0" fontId="1" fillId="0" borderId="19" xfId="0" applyFont="1" applyBorder="1" applyAlignment="1">
      <alignment horizontal="center" vertical="center"/>
    </xf>
    <xf numFmtId="4" fontId="1" fillId="0" borderId="19" xfId="0" applyNumberFormat="1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0" fontId="15" fillId="0" borderId="0" xfId="0" applyFont="1"/>
    <xf numFmtId="0" fontId="15" fillId="6" borderId="0" xfId="0" applyFont="1" applyFill="1"/>
    <xf numFmtId="0" fontId="11" fillId="6" borderId="0" xfId="0" applyFont="1" applyFill="1"/>
    <xf numFmtId="2" fontId="1" fillId="0" borderId="19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4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4" fillId="2" borderId="0" xfId="0" applyFont="1" applyFill="1"/>
    <xf numFmtId="0" fontId="14" fillId="0" borderId="19" xfId="0" applyFont="1" applyBorder="1"/>
    <xf numFmtId="167" fontId="14" fillId="0" borderId="19" xfId="0" applyNumberFormat="1" applyFont="1" applyBorder="1"/>
    <xf numFmtId="2" fontId="14" fillId="0" borderId="19" xfId="0" applyNumberFormat="1" applyFont="1" applyBorder="1"/>
    <xf numFmtId="0" fontId="7" fillId="4" borderId="11" xfId="0" applyFont="1" applyFill="1" applyBorder="1" applyAlignment="1">
      <alignment horizontal="center" vertical="center"/>
    </xf>
    <xf numFmtId="0" fontId="3" fillId="0" borderId="16" xfId="0" applyFont="1" applyBorder="1"/>
    <xf numFmtId="0" fontId="5" fillId="4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3" borderId="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3" fillId="0" borderId="13" xfId="0" applyFont="1" applyBorder="1"/>
    <xf numFmtId="0" fontId="6" fillId="4" borderId="9" xfId="0" applyFont="1" applyFill="1" applyBorder="1" applyAlignment="1">
      <alignment horizontal="center" vertical="center"/>
    </xf>
    <xf numFmtId="0" fontId="3" fillId="0" borderId="14" xfId="0" applyFont="1" applyBorder="1"/>
    <xf numFmtId="164" fontId="6" fillId="4" borderId="10" xfId="0" applyNumberFormat="1" applyFont="1" applyFill="1" applyBorder="1" applyAlignment="1">
      <alignment horizontal="center" vertical="center"/>
    </xf>
    <xf numFmtId="0" fontId="3" fillId="0" borderId="15" xfId="0" applyFont="1" applyBorder="1"/>
    <xf numFmtId="0" fontId="16" fillId="3" borderId="3" xfId="0" applyFont="1" applyFill="1" applyBorder="1" applyAlignment="1">
      <alignment horizontal="center"/>
    </xf>
    <xf numFmtId="0" fontId="0" fillId="0" borderId="38" xfId="0" pivotButton="1" applyBorder="1"/>
    <xf numFmtId="0" fontId="0" fillId="0" borderId="39" xfId="0" applyBorder="1"/>
    <xf numFmtId="0" fontId="0" fillId="0" borderId="40" xfId="0" applyBorder="1"/>
    <xf numFmtId="0" fontId="0" fillId="0" borderId="38" xfId="0" applyBorder="1"/>
    <xf numFmtId="0" fontId="0" fillId="0" borderId="41" xfId="0" applyBorder="1"/>
    <xf numFmtId="0" fontId="0" fillId="0" borderId="42" xfId="0" applyBorder="1"/>
    <xf numFmtId="0" fontId="0" fillId="0" borderId="38" xfId="0" applyNumberFormat="1" applyBorder="1"/>
    <xf numFmtId="0" fontId="0" fillId="0" borderId="41" xfId="0" applyNumberFormat="1" applyBorder="1"/>
    <xf numFmtId="0" fontId="0" fillId="0" borderId="42" xfId="0" applyNumberFormat="1" applyBorder="1"/>
    <xf numFmtId="0" fontId="0" fillId="0" borderId="43" xfId="0" applyBorder="1"/>
    <xf numFmtId="0" fontId="0" fillId="0" borderId="43" xfId="0" applyNumberFormat="1" applyBorder="1"/>
    <xf numFmtId="0" fontId="0" fillId="0" borderId="32" xfId="0" applyNumberFormat="1" applyBorder="1"/>
    <xf numFmtId="0" fontId="0" fillId="0" borderId="44" xfId="0" applyNumberFormat="1" applyBorder="1"/>
    <xf numFmtId="0" fontId="0" fillId="0" borderId="45" xfId="0" applyBorder="1"/>
    <xf numFmtId="0" fontId="0" fillId="0" borderId="45" xfId="0" applyNumberFormat="1" applyBorder="1"/>
    <xf numFmtId="0" fontId="0" fillId="0" borderId="46" xfId="0" applyNumberFormat="1" applyBorder="1"/>
    <xf numFmtId="0" fontId="0" fillId="0" borderId="47" xfId="0" applyNumberFormat="1" applyBorder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-style" pivot="0" count="4" xr9:uid="{00000000-0011-0000-FFFF-FFFF00000000}"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>
        <c:manualLayout>
          <c:xMode val="edge"/>
          <c:yMode val="edge"/>
          <c:x val="0.1112927961202467"/>
          <c:y val="6.3667425968109315E-2"/>
          <c:w val="0.86614810829907496"/>
          <c:h val="0.8235763097949886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 montant d'achat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6D7A8"/>
              </a:solidFill>
              <a:ln cmpd="sng">
                <a:solidFill>
                  <a:srgbClr val="B6D7A8"/>
                </a:solidFill>
              </a:ln>
            </c:spPr>
          </c:marker>
          <c:trendline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strRef>
              <c:f>DATA!$B$2:$B$663</c:f>
              <c:strCache>
                <c:ptCount val="660"/>
                <c:pt idx="0">
                  <c:v>4.84</c:v>
                </c:pt>
                <c:pt idx="1">
                  <c:v>6.81</c:v>
                </c:pt>
                <c:pt idx="2">
                  <c:v>5.45</c:v>
                </c:pt>
                <c:pt idx="3">
                  <c:v>6.73</c:v>
                </c:pt>
                <c:pt idx="4">
                  <c:v>7.93</c:v>
                </c:pt>
                <c:pt idx="5">
                  <c:v>9.06</c:v>
                </c:pt>
                <c:pt idx="6">
                  <c:v>5.76</c:v>
                </c:pt>
                <c:pt idx="7">
                  <c:v>1.80</c:v>
                </c:pt>
                <c:pt idx="8">
                  <c:v>4.64</c:v>
                </c:pt>
                <c:pt idx="9">
                  <c:v>9.46</c:v>
                </c:pt>
                <c:pt idx="10">
                  <c:v>7.76</c:v>
                </c:pt>
                <c:pt idx="11">
                  <c:v>8.54</c:v>
                </c:pt>
                <c:pt idx="12">
                  <c:v>7.12</c:v>
                </c:pt>
                <c:pt idx="13">
                  <c:v>6.03</c:v>
                </c:pt>
                <c:pt idx="14">
                  <c:v>9.73</c:v>
                </c:pt>
                <c:pt idx="15">
                  <c:v>5.96</c:v>
                </c:pt>
                <c:pt idx="16">
                  <c:v>5.10</c:v>
                </c:pt>
                <c:pt idx="17">
                  <c:v>3.30</c:v>
                </c:pt>
                <c:pt idx="18">
                  <c:v>10.70</c:v>
                </c:pt>
                <c:pt idx="19">
                  <c:v>12.40</c:v>
                </c:pt>
                <c:pt idx="20">
                  <c:v>6.22</c:v>
                </c:pt>
                <c:pt idx="21">
                  <c:v>5.63</c:v>
                </c:pt>
                <c:pt idx="22">
                  <c:v>7.71</c:v>
                </c:pt>
                <c:pt idx="23">
                  <c:v>8.93</c:v>
                </c:pt>
                <c:pt idx="24">
                  <c:v>8.12</c:v>
                </c:pt>
                <c:pt idx="25">
                  <c:v>5.44</c:v>
                </c:pt>
                <c:pt idx="26">
                  <c:v>5.10</c:v>
                </c:pt>
                <c:pt idx="27">
                  <c:v>9.23</c:v>
                </c:pt>
                <c:pt idx="28">
                  <c:v>12.00</c:v>
                </c:pt>
                <c:pt idx="29">
                  <c:v>9.42</c:v>
                </c:pt>
                <c:pt idx="30">
                  <c:v>5.12</c:v>
                </c:pt>
                <c:pt idx="31">
                  <c:v>5.83</c:v>
                </c:pt>
                <c:pt idx="32">
                  <c:v>7.06</c:v>
                </c:pt>
                <c:pt idx="33">
                  <c:v>9.86</c:v>
                </c:pt>
                <c:pt idx="34">
                  <c:v>10.40</c:v>
                </c:pt>
                <c:pt idx="35">
                  <c:v>7.28</c:v>
                </c:pt>
                <c:pt idx="36">
                  <c:v>5.43</c:v>
                </c:pt>
                <c:pt idx="37">
                  <c:v>8.22</c:v>
                </c:pt>
                <c:pt idx="38">
                  <c:v>4.04</c:v>
                </c:pt>
                <c:pt idx="39">
                  <c:v>7.66</c:v>
                </c:pt>
                <c:pt idx="40">
                  <c:v>4.24</c:v>
                </c:pt>
                <c:pt idx="41">
                  <c:v>6.85</c:v>
                </c:pt>
                <c:pt idx="42">
                  <c:v>6.80</c:v>
                </c:pt>
                <c:pt idx="43">
                  <c:v>8.52</c:v>
                </c:pt>
                <c:pt idx="44">
                  <c:v>8.68</c:v>
                </c:pt>
                <c:pt idx="45">
                  <c:v>7.29</c:v>
                </c:pt>
                <c:pt idx="46">
                  <c:v>5.73</c:v>
                </c:pt>
                <c:pt idx="47">
                  <c:v>1.50</c:v>
                </c:pt>
                <c:pt idx="48">
                  <c:v>9.05</c:v>
                </c:pt>
                <c:pt idx="49">
                  <c:v>6.34</c:v>
                </c:pt>
                <c:pt idx="50">
                  <c:v>8.98</c:v>
                </c:pt>
                <c:pt idx="51">
                  <c:v>7.52</c:v>
                </c:pt>
                <c:pt idx="52">
                  <c:v>4.68</c:v>
                </c:pt>
                <c:pt idx="53">
                  <c:v>4.78</c:v>
                </c:pt>
                <c:pt idx="54">
                  <c:v>7.33</c:v>
                </c:pt>
                <c:pt idx="55">
                  <c:v>9.33</c:v>
                </c:pt>
                <c:pt idx="56">
                  <c:v>2.50</c:v>
                </c:pt>
                <c:pt idx="57">
                  <c:v>1.80</c:v>
                </c:pt>
                <c:pt idx="58">
                  <c:v>9.95</c:v>
                </c:pt>
                <c:pt idx="59">
                  <c:v>7.45</c:v>
                </c:pt>
                <c:pt idx="60">
                  <c:v>6.43</c:v>
                </c:pt>
                <c:pt idx="61">
                  <c:v>7.75</c:v>
                </c:pt>
                <c:pt idx="62">
                  <c:v>8.96</c:v>
                </c:pt>
                <c:pt idx="63">
                  <c:v>4.44</c:v>
                </c:pt>
                <c:pt idx="64">
                  <c:v>7.91</c:v>
                </c:pt>
                <c:pt idx="65">
                  <c:v>5.36</c:v>
                </c:pt>
                <c:pt idx="66">
                  <c:v>8.17</c:v>
                </c:pt>
                <c:pt idx="67">
                  <c:v>9.50</c:v>
                </c:pt>
                <c:pt idx="68">
                  <c:v>6.99</c:v>
                </c:pt>
                <c:pt idx="69">
                  <c:v>4.39</c:v>
                </c:pt>
                <c:pt idx="70">
                  <c:v>4.06</c:v>
                </c:pt>
                <c:pt idx="71">
                  <c:v>5.84</c:v>
                </c:pt>
                <c:pt idx="72">
                  <c:v>5.66</c:v>
                </c:pt>
                <c:pt idx="73">
                  <c:v>3.90</c:v>
                </c:pt>
                <c:pt idx="74">
                  <c:v>5.64</c:v>
                </c:pt>
                <c:pt idx="75">
                  <c:v>8.39</c:v>
                </c:pt>
                <c:pt idx="76">
                  <c:v>9.66</c:v>
                </c:pt>
                <c:pt idx="77">
                  <c:v>4.22</c:v>
                </c:pt>
                <c:pt idx="78">
                  <c:v>9.20</c:v>
                </c:pt>
                <c:pt idx="79">
                  <c:v>6.67</c:v>
                </c:pt>
                <c:pt idx="80">
                  <c:v>4.62</c:v>
                </c:pt>
                <c:pt idx="81">
                  <c:v>4.87</c:v>
                </c:pt>
                <c:pt idx="82">
                  <c:v>9.25</c:v>
                </c:pt>
                <c:pt idx="83">
                  <c:v>5.67</c:v>
                </c:pt>
                <c:pt idx="84">
                  <c:v>9.96</c:v>
                </c:pt>
                <c:pt idx="85">
                  <c:v>6.50</c:v>
                </c:pt>
                <c:pt idx="86">
                  <c:v>5.47</c:v>
                </c:pt>
                <c:pt idx="87">
                  <c:v>4.30</c:v>
                </c:pt>
                <c:pt idx="88">
                  <c:v>6.81</c:v>
                </c:pt>
                <c:pt idx="89">
                  <c:v>5.68</c:v>
                </c:pt>
                <c:pt idx="90">
                  <c:v>4.44</c:v>
                </c:pt>
                <c:pt idx="91">
                  <c:v>9.57</c:v>
                </c:pt>
                <c:pt idx="92">
                  <c:v>6.70</c:v>
                </c:pt>
                <c:pt idx="93">
                  <c:v>9.23</c:v>
                </c:pt>
                <c:pt idx="94">
                  <c:v>4.46</c:v>
                </c:pt>
                <c:pt idx="95">
                  <c:v>8.12</c:v>
                </c:pt>
                <c:pt idx="96">
                  <c:v>3.50</c:v>
                </c:pt>
                <c:pt idx="97">
                  <c:v>2.30</c:v>
                </c:pt>
                <c:pt idx="98">
                  <c:v>2.10</c:v>
                </c:pt>
                <c:pt idx="99">
                  <c:v>6.69</c:v>
                </c:pt>
                <c:pt idx="100">
                  <c:v>7.21</c:v>
                </c:pt>
                <c:pt idx="101">
                  <c:v>6.76</c:v>
                </c:pt>
                <c:pt idx="102">
                  <c:v>9.75</c:v>
                </c:pt>
                <c:pt idx="103">
                  <c:v>5.46</c:v>
                </c:pt>
                <c:pt idx="104">
                  <c:v>7.27</c:v>
                </c:pt>
                <c:pt idx="105">
                  <c:v>6.95</c:v>
                </c:pt>
                <c:pt idx="106">
                  <c:v>6.96</c:v>
                </c:pt>
                <c:pt idx="107">
                  <c:v>5.65</c:v>
                </c:pt>
                <c:pt idx="108">
                  <c:v>4.80</c:v>
                </c:pt>
                <c:pt idx="109">
                  <c:v>4.26</c:v>
                </c:pt>
                <c:pt idx="110">
                  <c:v>8.02</c:v>
                </c:pt>
                <c:pt idx="111">
                  <c:v>5.93</c:v>
                </c:pt>
                <c:pt idx="112">
                  <c:v>9.85</c:v>
                </c:pt>
                <c:pt idx="113">
                  <c:v>11.60</c:v>
                </c:pt>
                <c:pt idx="114">
                  <c:v>5.46</c:v>
                </c:pt>
                <c:pt idx="115">
                  <c:v>6.64</c:v>
                </c:pt>
                <c:pt idx="116">
                  <c:v>6.33</c:v>
                </c:pt>
                <c:pt idx="117">
                  <c:v>8.19</c:v>
                </c:pt>
                <c:pt idx="118">
                  <c:v>3.50</c:v>
                </c:pt>
                <c:pt idx="119">
                  <c:v>8.44</c:v>
                </c:pt>
                <c:pt idx="120">
                  <c:v>9.07</c:v>
                </c:pt>
                <c:pt idx="121">
                  <c:v>4.52</c:v>
                </c:pt>
                <c:pt idx="122">
                  <c:v>5.61</c:v>
                </c:pt>
                <c:pt idx="123">
                  <c:v>6.96</c:v>
                </c:pt>
                <c:pt idx="124">
                  <c:v>2.40</c:v>
                </c:pt>
                <c:pt idx="125">
                  <c:v>3.70</c:v>
                </c:pt>
                <c:pt idx="126">
                  <c:v>3.90</c:v>
                </c:pt>
                <c:pt idx="127">
                  <c:v>7.11</c:v>
                </c:pt>
                <c:pt idx="128">
                  <c:v>6.16</c:v>
                </c:pt>
                <c:pt idx="129">
                  <c:v>8.24</c:v>
                </c:pt>
                <c:pt idx="130">
                  <c:v>4.08</c:v>
                </c:pt>
                <c:pt idx="131">
                  <c:v>7.88</c:v>
                </c:pt>
                <c:pt idx="132">
                  <c:v>5.20</c:v>
                </c:pt>
                <c:pt idx="133">
                  <c:v>4.77</c:v>
                </c:pt>
                <c:pt idx="134">
                  <c:v>5.42</c:v>
                </c:pt>
                <c:pt idx="135">
                  <c:v>5.67</c:v>
                </c:pt>
                <c:pt idx="136">
                  <c:v>2.30</c:v>
                </c:pt>
                <c:pt idx="137">
                  <c:v>10.60</c:v>
                </c:pt>
                <c:pt idx="138">
                  <c:v>6.28</c:v>
                </c:pt>
                <c:pt idx="139">
                  <c:v>5.15</c:v>
                </c:pt>
                <c:pt idx="140">
                  <c:v>7.95</c:v>
                </c:pt>
                <c:pt idx="141">
                  <c:v>7.18</c:v>
                </c:pt>
                <c:pt idx="142">
                  <c:v>9.38</c:v>
                </c:pt>
                <c:pt idx="143">
                  <c:v>8.12</c:v>
                </c:pt>
                <c:pt idx="144">
                  <c:v>7.73</c:v>
                </c:pt>
                <c:pt idx="145">
                  <c:v>8.60</c:v>
                </c:pt>
                <c:pt idx="146">
                  <c:v>5.79</c:v>
                </c:pt>
                <c:pt idx="147">
                  <c:v>6.74</c:v>
                </c:pt>
                <c:pt idx="148">
                  <c:v>9.69</c:v>
                </c:pt>
                <c:pt idx="149">
                  <c:v>6.27</c:v>
                </c:pt>
                <c:pt idx="150">
                  <c:v>1.50</c:v>
                </c:pt>
                <c:pt idx="151">
                  <c:v>3.90</c:v>
                </c:pt>
                <c:pt idx="152">
                  <c:v>9.98</c:v>
                </c:pt>
                <c:pt idx="153">
                  <c:v>9.59</c:v>
                </c:pt>
                <c:pt idx="154">
                  <c:v>4.14</c:v>
                </c:pt>
                <c:pt idx="155">
                  <c:v>8.98</c:v>
                </c:pt>
                <c:pt idx="156">
                  <c:v>9.25</c:v>
                </c:pt>
                <c:pt idx="157">
                  <c:v>4.96</c:v>
                </c:pt>
                <c:pt idx="158">
                  <c:v>9.69</c:v>
                </c:pt>
                <c:pt idx="159">
                  <c:v>9.53</c:v>
                </c:pt>
                <c:pt idx="160">
                  <c:v>5.35</c:v>
                </c:pt>
                <c:pt idx="161">
                  <c:v>6.65</c:v>
                </c:pt>
                <c:pt idx="162">
                  <c:v>7.42</c:v>
                </c:pt>
                <c:pt idx="163">
                  <c:v>4.62</c:v>
                </c:pt>
                <c:pt idx="164">
                  <c:v>5.59</c:v>
                </c:pt>
                <c:pt idx="165">
                  <c:v>2.60</c:v>
                </c:pt>
                <c:pt idx="166">
                  <c:v>12.60</c:v>
                </c:pt>
                <c:pt idx="167">
                  <c:v>10.90</c:v>
                </c:pt>
                <c:pt idx="168">
                  <c:v>5.22</c:v>
                </c:pt>
                <c:pt idx="169">
                  <c:v>5.91</c:v>
                </c:pt>
                <c:pt idx="170">
                  <c:v>9.15</c:v>
                </c:pt>
                <c:pt idx="171">
                  <c:v>4.34</c:v>
                </c:pt>
                <c:pt idx="172">
                  <c:v>9.65</c:v>
                </c:pt>
                <c:pt idx="173">
                  <c:v>8.29</c:v>
                </c:pt>
                <c:pt idx="174">
                  <c:v>9.99</c:v>
                </c:pt>
                <c:pt idx="175">
                  <c:v>9.04</c:v>
                </c:pt>
                <c:pt idx="176">
                  <c:v>6.49</c:v>
                </c:pt>
                <c:pt idx="177">
                  <c:v>9.38</c:v>
                </c:pt>
                <c:pt idx="178">
                  <c:v>6.66</c:v>
                </c:pt>
                <c:pt idx="179">
                  <c:v>8.74</c:v>
                </c:pt>
                <c:pt idx="180">
                  <c:v>2.80</c:v>
                </c:pt>
                <c:pt idx="181">
                  <c:v>11.90</c:v>
                </c:pt>
                <c:pt idx="182">
                  <c:v>6.06</c:v>
                </c:pt>
                <c:pt idx="183">
                  <c:v>5.35</c:v>
                </c:pt>
                <c:pt idx="184">
                  <c:v>9.05</c:v>
                </c:pt>
                <c:pt idx="185">
                  <c:v>9.66</c:v>
                </c:pt>
                <c:pt idx="186">
                  <c:v>9.17</c:v>
                </c:pt>
                <c:pt idx="187">
                  <c:v>5.24</c:v>
                </c:pt>
                <c:pt idx="188">
                  <c:v>7.70</c:v>
                </c:pt>
                <c:pt idx="189">
                  <c:v>6.05</c:v>
                </c:pt>
                <c:pt idx="190">
                  <c:v>5.99</c:v>
                </c:pt>
                <c:pt idx="191">
                  <c:v>7.93</c:v>
                </c:pt>
                <c:pt idx="192">
                  <c:v>9.10</c:v>
                </c:pt>
                <c:pt idx="193">
                  <c:v>6.91</c:v>
                </c:pt>
                <c:pt idx="194">
                  <c:v>2.00</c:v>
                </c:pt>
                <c:pt idx="195">
                  <c:v>10.20</c:v>
                </c:pt>
                <c:pt idx="196">
                  <c:v>10.00</c:v>
                </c:pt>
                <c:pt idx="197">
                  <c:v>10.10</c:v>
                </c:pt>
                <c:pt idx="198">
                  <c:v>8.39</c:v>
                </c:pt>
                <c:pt idx="199">
                  <c:v>9.20</c:v>
                </c:pt>
                <c:pt idx="200">
                  <c:v>8.10</c:v>
                </c:pt>
                <c:pt idx="201">
                  <c:v>6.06</c:v>
                </c:pt>
                <c:pt idx="202">
                  <c:v>9.99</c:v>
                </c:pt>
                <c:pt idx="203">
                  <c:v>5.66</c:v>
                </c:pt>
                <c:pt idx="204">
                  <c:v>7.54</c:v>
                </c:pt>
                <c:pt idx="205">
                  <c:v>4.30</c:v>
                </c:pt>
                <c:pt idx="206">
                  <c:v>7.57</c:v>
                </c:pt>
                <c:pt idx="207">
                  <c:v>6.84</c:v>
                </c:pt>
                <c:pt idx="208">
                  <c:v>4.02</c:v>
                </c:pt>
                <c:pt idx="209">
                  <c:v>7.31</c:v>
                </c:pt>
                <c:pt idx="210">
                  <c:v>6.54</c:v>
                </c:pt>
                <c:pt idx="211">
                  <c:v>2.60</c:v>
                </c:pt>
                <c:pt idx="212">
                  <c:v>11.10</c:v>
                </c:pt>
                <c:pt idx="213">
                  <c:v>6.57</c:v>
                </c:pt>
                <c:pt idx="214">
                  <c:v>7.59</c:v>
                </c:pt>
                <c:pt idx="215">
                  <c:v>5.10</c:v>
                </c:pt>
                <c:pt idx="216">
                  <c:v>7.30</c:v>
                </c:pt>
                <c:pt idx="217">
                  <c:v>6.41</c:v>
                </c:pt>
                <c:pt idx="218">
                  <c:v>7.79</c:v>
                </c:pt>
                <c:pt idx="219">
                  <c:v>6.22</c:v>
                </c:pt>
                <c:pt idx="220">
                  <c:v>7.73</c:v>
                </c:pt>
                <c:pt idx="221">
                  <c:v>4.12</c:v>
                </c:pt>
                <c:pt idx="222">
                  <c:v>8.78</c:v>
                </c:pt>
                <c:pt idx="223">
                  <c:v>3.80</c:v>
                </c:pt>
                <c:pt idx="224">
                  <c:v>2.90</c:v>
                </c:pt>
                <c:pt idx="225">
                  <c:v>3.80</c:v>
                </c:pt>
                <c:pt idx="226">
                  <c:v>12.70</c:v>
                </c:pt>
                <c:pt idx="227">
                  <c:v>6.41</c:v>
                </c:pt>
                <c:pt idx="228">
                  <c:v>8.31</c:v>
                </c:pt>
                <c:pt idx="229">
                  <c:v>7.31</c:v>
                </c:pt>
                <c:pt idx="230">
                  <c:v>5.93</c:v>
                </c:pt>
                <c:pt idx="231">
                  <c:v>9.03</c:v>
                </c:pt>
                <c:pt idx="232">
                  <c:v>7.36</c:v>
                </c:pt>
                <c:pt idx="233">
                  <c:v>7.69</c:v>
                </c:pt>
                <c:pt idx="234">
                  <c:v>5.88</c:v>
                </c:pt>
                <c:pt idx="235">
                  <c:v>6.68</c:v>
                </c:pt>
                <c:pt idx="236">
                  <c:v>4.78</c:v>
                </c:pt>
                <c:pt idx="237">
                  <c:v>5.10</c:v>
                </c:pt>
                <c:pt idx="238">
                  <c:v>8.35</c:v>
                </c:pt>
                <c:pt idx="239">
                  <c:v>7.84</c:v>
                </c:pt>
                <c:pt idx="240">
                  <c:v>6.75</c:v>
                </c:pt>
                <c:pt idx="241">
                  <c:v>4.46</c:v>
                </c:pt>
                <c:pt idx="242">
                  <c:v>7.97</c:v>
                </c:pt>
                <c:pt idx="243">
                  <c:v>3.00</c:v>
                </c:pt>
                <c:pt idx="244">
                  <c:v>11.90</c:v>
                </c:pt>
                <c:pt idx="245">
                  <c:v>7.27</c:v>
                </c:pt>
                <c:pt idx="246">
                  <c:v>4.20</c:v>
                </c:pt>
                <c:pt idx="247">
                  <c:v>7.87</c:v>
                </c:pt>
                <c:pt idx="248">
                  <c:v>9.15</c:v>
                </c:pt>
                <c:pt idx="249">
                  <c:v>9.58</c:v>
                </c:pt>
                <c:pt idx="250">
                  <c:v>6.16</c:v>
                </c:pt>
                <c:pt idx="251">
                  <c:v>6.65</c:v>
                </c:pt>
                <c:pt idx="252">
                  <c:v>9.53</c:v>
                </c:pt>
                <c:pt idx="253">
                  <c:v>1.50</c:v>
                </c:pt>
                <c:pt idx="254">
                  <c:v>10.60</c:v>
                </c:pt>
                <c:pt idx="255">
                  <c:v>4.15</c:v>
                </c:pt>
                <c:pt idx="256">
                  <c:v>9.87</c:v>
                </c:pt>
                <c:pt idx="257">
                  <c:v>8.72</c:v>
                </c:pt>
                <c:pt idx="258">
                  <c:v>4.38</c:v>
                </c:pt>
                <c:pt idx="259">
                  <c:v>5.70</c:v>
                </c:pt>
                <c:pt idx="260">
                  <c:v>7.66</c:v>
                </c:pt>
                <c:pt idx="261">
                  <c:v>6.09</c:v>
                </c:pt>
                <c:pt idx="262">
                  <c:v>5.05</c:v>
                </c:pt>
                <c:pt idx="263">
                  <c:v>9.20</c:v>
                </c:pt>
                <c:pt idx="264">
                  <c:v>8.10</c:v>
                </c:pt>
                <c:pt idx="265">
                  <c:v>5.79</c:v>
                </c:pt>
                <c:pt idx="266">
                  <c:v>12.70</c:v>
                </c:pt>
                <c:pt idx="267">
                  <c:v>10.70</c:v>
                </c:pt>
                <c:pt idx="268">
                  <c:v>11.30</c:v>
                </c:pt>
                <c:pt idx="269">
                  <c:v>12.40</c:v>
                </c:pt>
                <c:pt idx="270">
                  <c:v>5.41</c:v>
                </c:pt>
                <c:pt idx="271">
                  <c:v>4.17</c:v>
                </c:pt>
                <c:pt idx="272">
                  <c:v>4.54</c:v>
                </c:pt>
                <c:pt idx="273">
                  <c:v>8.65</c:v>
                </c:pt>
                <c:pt idx="274">
                  <c:v>8.18</c:v>
                </c:pt>
                <c:pt idx="275">
                  <c:v>6.68</c:v>
                </c:pt>
                <c:pt idx="276">
                  <c:v>4.34</c:v>
                </c:pt>
                <c:pt idx="277">
                  <c:v>4.15</c:v>
                </c:pt>
                <c:pt idx="278">
                  <c:v>7.55</c:v>
                </c:pt>
                <c:pt idx="279">
                  <c:v>4.61</c:v>
                </c:pt>
                <c:pt idx="280">
                  <c:v>9.30</c:v>
                </c:pt>
                <c:pt idx="281">
                  <c:v>8.97</c:v>
                </c:pt>
                <c:pt idx="282">
                  <c:v>2.80</c:v>
                </c:pt>
                <c:pt idx="283">
                  <c:v>12.10</c:v>
                </c:pt>
                <c:pt idx="284">
                  <c:v>11.80</c:v>
                </c:pt>
                <c:pt idx="285">
                  <c:v>4.48</c:v>
                </c:pt>
                <c:pt idx="286">
                  <c:v>8.60</c:v>
                </c:pt>
                <c:pt idx="287">
                  <c:v>4.05</c:v>
                </c:pt>
                <c:pt idx="288">
                  <c:v>7.90</c:v>
                </c:pt>
                <c:pt idx="289">
                  <c:v>4.66</c:v>
                </c:pt>
                <c:pt idx="290">
                  <c:v>9.28</c:v>
                </c:pt>
                <c:pt idx="291">
                  <c:v>5.06</c:v>
                </c:pt>
                <c:pt idx="292">
                  <c:v>4.67</c:v>
                </c:pt>
                <c:pt idx="293">
                  <c:v>9.91</c:v>
                </c:pt>
                <c:pt idx="294">
                  <c:v>8.65</c:v>
                </c:pt>
                <c:pt idx="295">
                  <c:v>6.85</c:v>
                </c:pt>
                <c:pt idx="296">
                  <c:v>9.31</c:v>
                </c:pt>
                <c:pt idx="297">
                  <c:v>5.61</c:v>
                </c:pt>
                <c:pt idx="298">
                  <c:v>4.00</c:v>
                </c:pt>
                <c:pt idx="299">
                  <c:v>5.18</c:v>
                </c:pt>
                <c:pt idx="300">
                  <c:v>7.07</c:v>
                </c:pt>
                <c:pt idx="301">
                  <c:v>8.83</c:v>
                </c:pt>
                <c:pt idx="302">
                  <c:v>9.02</c:v>
                </c:pt>
                <c:pt idx="303">
                  <c:v>5.65</c:v>
                </c:pt>
                <c:pt idx="304">
                  <c:v>6.46</c:v>
                </c:pt>
                <c:pt idx="305">
                  <c:v>4.66</c:v>
                </c:pt>
                <c:pt idx="306">
                  <c:v>6.56</c:v>
                </c:pt>
                <c:pt idx="307">
                  <c:v>7.72</c:v>
                </c:pt>
                <c:pt idx="308">
                  <c:v>8.62</c:v>
                </c:pt>
                <c:pt idx="309">
                  <c:v>9.77</c:v>
                </c:pt>
                <c:pt idx="310">
                  <c:v>7.98</c:v>
                </c:pt>
                <c:pt idx="311">
                  <c:v>6.16</c:v>
                </c:pt>
                <c:pt idx="312">
                  <c:v>8.39</c:v>
                </c:pt>
                <c:pt idx="313">
                  <c:v>9.67</c:v>
                </c:pt>
                <c:pt idx="314">
                  <c:v>4.32</c:v>
                </c:pt>
                <c:pt idx="315">
                  <c:v>5.97</c:v>
                </c:pt>
                <c:pt idx="316">
                  <c:v>7.37</c:v>
                </c:pt>
                <c:pt idx="317">
                  <c:v>8.55</c:v>
                </c:pt>
                <c:pt idx="318">
                  <c:v>5.94</c:v>
                </c:pt>
                <c:pt idx="319">
                  <c:v>4.57</c:v>
                </c:pt>
                <c:pt idx="320">
                  <c:v>4.99</c:v>
                </c:pt>
                <c:pt idx="321">
                  <c:v>5.48</c:v>
                </c:pt>
                <c:pt idx="322">
                  <c:v>4.88</c:v>
                </c:pt>
                <c:pt idx="323">
                  <c:v>6.28</c:v>
                </c:pt>
                <c:pt idx="324">
                  <c:v>6.25</c:v>
                </c:pt>
                <c:pt idx="325">
                  <c:v>4.78</c:v>
                </c:pt>
                <c:pt idx="326">
                  <c:v>8.04</c:v>
                </c:pt>
                <c:pt idx="327">
                  <c:v>2.40</c:v>
                </c:pt>
                <c:pt idx="328">
                  <c:v>3.80</c:v>
                </c:pt>
                <c:pt idx="329">
                  <c:v>4.00</c:v>
                </c:pt>
                <c:pt idx="330">
                  <c:v>12.50</c:v>
                </c:pt>
                <c:pt idx="331">
                  <c:v>12.00</c:v>
                </c:pt>
                <c:pt idx="332">
                  <c:v>8.14</c:v>
                </c:pt>
                <c:pt idx="333">
                  <c:v>7.37</c:v>
                </c:pt>
                <c:pt idx="334">
                  <c:v>7.31</c:v>
                </c:pt>
                <c:pt idx="335">
                  <c:v>8.63</c:v>
                </c:pt>
                <c:pt idx="336">
                  <c:v>6.23</c:v>
                </c:pt>
                <c:pt idx="337">
                  <c:v>4.76</c:v>
                </c:pt>
                <c:pt idx="338">
                  <c:v>6.21</c:v>
                </c:pt>
                <c:pt idx="339">
                  <c:v>9.21</c:v>
                </c:pt>
                <c:pt idx="340">
                  <c:v>5.78</c:v>
                </c:pt>
                <c:pt idx="341">
                  <c:v>4.18</c:v>
                </c:pt>
                <c:pt idx="342">
                  <c:v>5.30</c:v>
                </c:pt>
                <c:pt idx="343">
                  <c:v>8.91</c:v>
                </c:pt>
                <c:pt idx="344">
                  <c:v>6.82</c:v>
                </c:pt>
                <c:pt idx="345">
                  <c:v>5.31</c:v>
                </c:pt>
                <c:pt idx="346">
                  <c:v>9.30</c:v>
                </c:pt>
                <c:pt idx="347">
                  <c:v>7.81</c:v>
                </c:pt>
                <c:pt idx="348">
                  <c:v>9.68</c:v>
                </c:pt>
                <c:pt idx="349">
                  <c:v>2.60</c:v>
                </c:pt>
                <c:pt idx="350">
                  <c:v>3.20</c:v>
                </c:pt>
                <c:pt idx="351">
                  <c:v>11.80</c:v>
                </c:pt>
                <c:pt idx="352">
                  <c:v>10.00</c:v>
                </c:pt>
                <c:pt idx="353">
                  <c:v>4.70</c:v>
                </c:pt>
                <c:pt idx="354">
                  <c:v>4.84</c:v>
                </c:pt>
                <c:pt idx="355">
                  <c:v>6.96</c:v>
                </c:pt>
                <c:pt idx="356">
                  <c:v>7.70</c:v>
                </c:pt>
                <c:pt idx="357">
                  <c:v>6.63</c:v>
                </c:pt>
                <c:pt idx="358">
                  <c:v>9.25</c:v>
                </c:pt>
                <c:pt idx="359">
                  <c:v>6.63</c:v>
                </c:pt>
                <c:pt idx="360">
                  <c:v>9.78</c:v>
                </c:pt>
                <c:pt idx="361">
                  <c:v>4.11</c:v>
                </c:pt>
                <c:pt idx="362">
                  <c:v>6.50</c:v>
                </c:pt>
                <c:pt idx="363">
                  <c:v>5.22</c:v>
                </c:pt>
                <c:pt idx="364">
                  <c:v>5.05</c:v>
                </c:pt>
                <c:pt idx="365">
                  <c:v>8.41</c:v>
                </c:pt>
                <c:pt idx="366">
                  <c:v>6.47</c:v>
                </c:pt>
                <c:pt idx="367">
                  <c:v>1.60</c:v>
                </c:pt>
                <c:pt idx="368">
                  <c:v>11.40</c:v>
                </c:pt>
                <c:pt idx="369">
                  <c:v>11.30</c:v>
                </c:pt>
                <c:pt idx="370">
                  <c:v>5.39</c:v>
                </c:pt>
                <c:pt idx="371">
                  <c:v>7.60</c:v>
                </c:pt>
                <c:pt idx="372">
                  <c:v>7.21</c:v>
                </c:pt>
                <c:pt idx="373">
                  <c:v>5.34</c:v>
                </c:pt>
                <c:pt idx="374">
                  <c:v>9.49</c:v>
                </c:pt>
                <c:pt idx="375">
                  <c:v>5.29</c:v>
                </c:pt>
                <c:pt idx="376">
                  <c:v>7.97</c:v>
                </c:pt>
                <c:pt idx="377">
                  <c:v>8.86</c:v>
                </c:pt>
                <c:pt idx="378">
                  <c:v>7.41</c:v>
                </c:pt>
                <c:pt idx="379">
                  <c:v>4.14</c:v>
                </c:pt>
                <c:pt idx="380">
                  <c:v>9.87</c:v>
                </c:pt>
                <c:pt idx="381">
                  <c:v>7.58</c:v>
                </c:pt>
                <c:pt idx="382">
                  <c:v>7.27</c:v>
                </c:pt>
                <c:pt idx="383">
                  <c:v>6.93</c:v>
                </c:pt>
                <c:pt idx="384">
                  <c:v>9.27</c:v>
                </c:pt>
                <c:pt idx="385">
                  <c:v>4.39</c:v>
                </c:pt>
                <c:pt idx="386">
                  <c:v>12.30</c:v>
                </c:pt>
                <c:pt idx="387">
                  <c:v>5.47</c:v>
                </c:pt>
                <c:pt idx="388">
                  <c:v>9.02</c:v>
                </c:pt>
                <c:pt idx="389">
                  <c:v>6.59</c:v>
                </c:pt>
                <c:pt idx="390">
                  <c:v>5.96</c:v>
                </c:pt>
                <c:pt idx="391">
                  <c:v>7.38</c:v>
                </c:pt>
                <c:pt idx="392">
                  <c:v>6.91</c:v>
                </c:pt>
                <c:pt idx="393">
                  <c:v>6.27</c:v>
                </c:pt>
                <c:pt idx="394">
                  <c:v>8.29</c:v>
                </c:pt>
                <c:pt idx="395">
                  <c:v>7.90</c:v>
                </c:pt>
                <c:pt idx="396">
                  <c:v>6.32</c:v>
                </c:pt>
                <c:pt idx="397">
                  <c:v>4.85</c:v>
                </c:pt>
                <c:pt idx="398">
                  <c:v>4.15</c:v>
                </c:pt>
                <c:pt idx="399">
                  <c:v>5.88</c:v>
                </c:pt>
                <c:pt idx="400">
                  <c:v>2.67</c:v>
                </c:pt>
                <c:pt idx="401">
                  <c:v>2.90</c:v>
                </c:pt>
                <c:pt idx="402">
                  <c:v>12.20</c:v>
                </c:pt>
                <c:pt idx="403">
                  <c:v>4.93</c:v>
                </c:pt>
                <c:pt idx="404">
                  <c:v>6.72</c:v>
                </c:pt>
                <c:pt idx="405">
                  <c:v>9.18</c:v>
                </c:pt>
                <c:pt idx="406">
                  <c:v>6.45</c:v>
                </c:pt>
                <c:pt idx="407">
                  <c:v>8.61</c:v>
                </c:pt>
                <c:pt idx="408">
                  <c:v>4.54</c:v>
                </c:pt>
                <c:pt idx="409">
                  <c:v>4.15</c:v>
                </c:pt>
                <c:pt idx="410">
                  <c:v>9.22</c:v>
                </c:pt>
                <c:pt idx="411">
                  <c:v>6.15</c:v>
                </c:pt>
                <c:pt idx="412">
                  <c:v>8.27</c:v>
                </c:pt>
                <c:pt idx="413">
                  <c:v>8.44</c:v>
                </c:pt>
                <c:pt idx="414">
                  <c:v>7.18</c:v>
                </c:pt>
                <c:pt idx="415">
                  <c:v>8.60</c:v>
                </c:pt>
                <c:pt idx="416">
                  <c:v>9.24</c:v>
                </c:pt>
                <c:pt idx="417">
                  <c:v>2.00</c:v>
                </c:pt>
                <c:pt idx="418">
                  <c:v>3.70</c:v>
                </c:pt>
                <c:pt idx="419">
                  <c:v>12.10</c:v>
                </c:pt>
                <c:pt idx="420">
                  <c:v>12.20</c:v>
                </c:pt>
                <c:pt idx="421">
                  <c:v>8.92</c:v>
                </c:pt>
                <c:pt idx="422">
                  <c:v>6.38</c:v>
                </c:pt>
                <c:pt idx="423">
                  <c:v>4.55</c:v>
                </c:pt>
                <c:pt idx="424">
                  <c:v>6.55</c:v>
                </c:pt>
                <c:pt idx="425">
                  <c:v>9.60</c:v>
                </c:pt>
                <c:pt idx="426">
                  <c:v>7.33</c:v>
                </c:pt>
                <c:pt idx="427">
                  <c:v>5.87</c:v>
                </c:pt>
                <c:pt idx="428">
                  <c:v>9.73</c:v>
                </c:pt>
                <c:pt idx="429">
                  <c:v>7.22</c:v>
                </c:pt>
                <c:pt idx="430">
                  <c:v>4.13</c:v>
                </c:pt>
                <c:pt idx="431">
                  <c:v>9.84</c:v>
                </c:pt>
                <c:pt idx="432">
                  <c:v>4.65</c:v>
                </c:pt>
                <c:pt idx="433">
                  <c:v>4.83</c:v>
                </c:pt>
                <c:pt idx="434">
                  <c:v>8.94</c:v>
                </c:pt>
                <c:pt idx="435">
                  <c:v>6.34</c:v>
                </c:pt>
                <c:pt idx="436">
                  <c:v>7.46</c:v>
                </c:pt>
                <c:pt idx="437">
                  <c:v>7.30</c:v>
                </c:pt>
                <c:pt idx="438">
                  <c:v>9.00</c:v>
                </c:pt>
                <c:pt idx="439">
                  <c:v>11.60</c:v>
                </c:pt>
                <c:pt idx="440">
                  <c:v>9.74</c:v>
                </c:pt>
                <c:pt idx="441">
                  <c:v>8.80</c:v>
                </c:pt>
                <c:pt idx="442">
                  <c:v>6.31</c:v>
                </c:pt>
                <c:pt idx="443">
                  <c:v>8.68</c:v>
                </c:pt>
                <c:pt idx="444">
                  <c:v>8.00</c:v>
                </c:pt>
                <c:pt idx="445">
                  <c:v>7.38</c:v>
                </c:pt>
                <c:pt idx="446">
                  <c:v>7.19</c:v>
                </c:pt>
                <c:pt idx="447">
                  <c:v>7.48</c:v>
                </c:pt>
                <c:pt idx="448">
                  <c:v>4.31</c:v>
                </c:pt>
                <c:pt idx="449">
                  <c:v>6.24</c:v>
                </c:pt>
                <c:pt idx="450">
                  <c:v>7.30</c:v>
                </c:pt>
                <c:pt idx="451">
                  <c:v>6.99</c:v>
                </c:pt>
                <c:pt idx="452">
                  <c:v>8.47</c:v>
                </c:pt>
                <c:pt idx="453">
                  <c:v>9.19</c:v>
                </c:pt>
                <c:pt idx="454">
                  <c:v>7.60</c:v>
                </c:pt>
                <c:pt idx="455">
                  <c:v>8.62</c:v>
                </c:pt>
                <c:pt idx="456">
                  <c:v>5.91</c:v>
                </c:pt>
                <c:pt idx="457">
                  <c:v>11.90</c:v>
                </c:pt>
                <c:pt idx="458">
                  <c:v>11.00</c:v>
                </c:pt>
                <c:pt idx="459">
                  <c:v>6.82</c:v>
                </c:pt>
                <c:pt idx="460">
                  <c:v>8.64</c:v>
                </c:pt>
                <c:pt idx="461">
                  <c:v>5.38</c:v>
                </c:pt>
                <c:pt idx="462">
                  <c:v>9.94</c:v>
                </c:pt>
                <c:pt idx="463">
                  <c:v>4.93</c:v>
                </c:pt>
                <c:pt idx="464">
                  <c:v>6.12</c:v>
                </c:pt>
                <c:pt idx="465">
                  <c:v>5.15</c:v>
                </c:pt>
                <c:pt idx="466">
                  <c:v>4.03</c:v>
                </c:pt>
                <c:pt idx="467">
                  <c:v>5.59</c:v>
                </c:pt>
                <c:pt idx="468">
                  <c:v>6.25</c:v>
                </c:pt>
                <c:pt idx="469">
                  <c:v>8.41</c:v>
                </c:pt>
                <c:pt idx="470">
                  <c:v>9.99</c:v>
                </c:pt>
                <c:pt idx="471">
                  <c:v>8.89</c:v>
                </c:pt>
                <c:pt idx="472">
                  <c:v>2.00</c:v>
                </c:pt>
                <c:pt idx="473">
                  <c:v>9.07</c:v>
                </c:pt>
                <c:pt idx="474">
                  <c:v>4.88</c:v>
                </c:pt>
                <c:pt idx="475">
                  <c:v>7.37</c:v>
                </c:pt>
                <c:pt idx="476">
                  <c:v>8.38</c:v>
                </c:pt>
                <c:pt idx="477">
                  <c:v>4.68</c:v>
                </c:pt>
                <c:pt idx="478">
                  <c:v>6.63</c:v>
                </c:pt>
                <c:pt idx="479">
                  <c:v>7.69</c:v>
                </c:pt>
                <c:pt idx="480">
                  <c:v>8.08</c:v>
                </c:pt>
                <c:pt idx="481">
                  <c:v>6.33</c:v>
                </c:pt>
                <c:pt idx="482">
                  <c:v>9.33</c:v>
                </c:pt>
                <c:pt idx="483">
                  <c:v>5.05</c:v>
                </c:pt>
                <c:pt idx="484">
                  <c:v>5.58</c:v>
                </c:pt>
                <c:pt idx="485">
                  <c:v>9.56</c:v>
                </c:pt>
                <c:pt idx="486">
                  <c:v>8.74</c:v>
                </c:pt>
                <c:pt idx="487">
                  <c:v>7.46</c:v>
                </c:pt>
                <c:pt idx="488">
                  <c:v>12.40</c:v>
                </c:pt>
                <c:pt idx="489">
                  <c:v>5.20</c:v>
                </c:pt>
                <c:pt idx="490">
                  <c:v>4.24</c:v>
                </c:pt>
                <c:pt idx="491">
                  <c:v>6.97</c:v>
                </c:pt>
                <c:pt idx="492">
                  <c:v>5.77</c:v>
                </c:pt>
                <c:pt idx="493">
                  <c:v>9.03</c:v>
                </c:pt>
                <c:pt idx="494">
                  <c:v>8.49</c:v>
                </c:pt>
                <c:pt idx="495">
                  <c:v>9.35</c:v>
                </c:pt>
                <c:pt idx="496">
                  <c:v>9.99</c:v>
                </c:pt>
                <c:pt idx="497">
                  <c:v>8.11</c:v>
                </c:pt>
                <c:pt idx="498">
                  <c:v>6.71</c:v>
                </c:pt>
                <c:pt idx="499">
                  <c:v>6.94</c:v>
                </c:pt>
                <c:pt idx="500">
                  <c:v>5.98</c:v>
                </c:pt>
                <c:pt idx="501">
                  <c:v>8.88</c:v>
                </c:pt>
                <c:pt idx="502">
                  <c:v>7.25</c:v>
                </c:pt>
                <c:pt idx="503">
                  <c:v>7.25</c:v>
                </c:pt>
                <c:pt idx="504">
                  <c:v>5.86</c:v>
                </c:pt>
                <c:pt idx="505">
                  <c:v>1.90</c:v>
                </c:pt>
                <c:pt idx="506">
                  <c:v>11.30</c:v>
                </c:pt>
                <c:pt idx="507">
                  <c:v>12.80</c:v>
                </c:pt>
                <c:pt idx="508">
                  <c:v>8.80</c:v>
                </c:pt>
                <c:pt idx="509">
                  <c:v>8.60</c:v>
                </c:pt>
                <c:pt idx="510">
                  <c:v>8.65</c:v>
                </c:pt>
                <c:pt idx="511">
                  <c:v>5.15</c:v>
                </c:pt>
                <c:pt idx="512">
                  <c:v>9.44</c:v>
                </c:pt>
                <c:pt idx="513">
                  <c:v>6.64</c:v>
                </c:pt>
                <c:pt idx="514">
                  <c:v>2.30</c:v>
                </c:pt>
                <c:pt idx="515">
                  <c:v>3.30</c:v>
                </c:pt>
                <c:pt idx="516">
                  <c:v>6.82</c:v>
                </c:pt>
                <c:pt idx="517">
                  <c:v>4.57</c:v>
                </c:pt>
                <c:pt idx="518">
                  <c:v>7.34</c:v>
                </c:pt>
                <c:pt idx="519">
                  <c:v>4.28</c:v>
                </c:pt>
                <c:pt idx="520">
                  <c:v>8.22</c:v>
                </c:pt>
                <c:pt idx="521">
                  <c:v>8.39</c:v>
                </c:pt>
                <c:pt idx="522">
                  <c:v>8.75</c:v>
                </c:pt>
                <c:pt idx="523">
                  <c:v>7.21</c:v>
                </c:pt>
                <c:pt idx="524">
                  <c:v>5.50</c:v>
                </c:pt>
                <c:pt idx="525">
                  <c:v>8.56</c:v>
                </c:pt>
                <c:pt idx="526">
                  <c:v>4.75</c:v>
                </c:pt>
                <c:pt idx="527">
                  <c:v>7.31</c:v>
                </c:pt>
                <c:pt idx="528">
                  <c:v>9.24</c:v>
                </c:pt>
                <c:pt idx="529">
                  <c:v>9.88</c:v>
                </c:pt>
                <c:pt idx="530">
                  <c:v>7.81</c:v>
                </c:pt>
                <c:pt idx="531">
                  <c:v>6.02</c:v>
                </c:pt>
                <c:pt idx="532">
                  <c:v>4.92</c:v>
                </c:pt>
                <c:pt idx="533">
                  <c:v>6.92</c:v>
                </c:pt>
                <c:pt idx="534">
                  <c:v>3.60</c:v>
                </c:pt>
                <c:pt idx="535">
                  <c:v>5.47</c:v>
                </c:pt>
                <c:pt idx="536">
                  <c:v>8.93</c:v>
                </c:pt>
                <c:pt idx="537">
                  <c:v>8.02</c:v>
                </c:pt>
                <c:pt idx="538">
                  <c:v>5.38</c:v>
                </c:pt>
                <c:pt idx="539">
                  <c:v>7.98</c:v>
                </c:pt>
                <c:pt idx="540">
                  <c:v>7.07</c:v>
                </c:pt>
                <c:pt idx="541">
                  <c:v>3.00</c:v>
                </c:pt>
                <c:pt idx="542">
                  <c:v>2.10</c:v>
                </c:pt>
                <c:pt idx="543">
                  <c:v>12.50</c:v>
                </c:pt>
                <c:pt idx="544">
                  <c:v>6.96</c:v>
                </c:pt>
                <c:pt idx="545">
                  <c:v>4.44</c:v>
                </c:pt>
                <c:pt idx="546">
                  <c:v>9.27</c:v>
                </c:pt>
                <c:pt idx="547">
                  <c:v>5.50</c:v>
                </c:pt>
                <c:pt idx="548">
                  <c:v>9.21</c:v>
                </c:pt>
                <c:pt idx="549">
                  <c:v>8.70</c:v>
                </c:pt>
                <c:pt idx="550">
                  <c:v>10.60</c:v>
                </c:pt>
                <c:pt idx="551">
                  <c:v>12.10</c:v>
                </c:pt>
                <c:pt idx="552">
                  <c:v>9.23</c:v>
                </c:pt>
                <c:pt idx="553">
                  <c:v>5.14</c:v>
                </c:pt>
                <c:pt idx="554">
                  <c:v>8.68</c:v>
                </c:pt>
                <c:pt idx="555">
                  <c:v>7.05</c:v>
                </c:pt>
                <c:pt idx="556">
                  <c:v>5.74</c:v>
                </c:pt>
                <c:pt idx="557">
                  <c:v>4.64</c:v>
                </c:pt>
                <c:pt idx="558">
                  <c:v>8.19</c:v>
                </c:pt>
                <c:pt idx="559">
                  <c:v>11.70</c:v>
                </c:pt>
                <c:pt idx="560">
                  <c:v>12.50</c:v>
                </c:pt>
                <c:pt idx="561">
                  <c:v>11.10</c:v>
                </c:pt>
                <c:pt idx="562">
                  <c:v>12.50</c:v>
                </c:pt>
                <c:pt idx="563">
                  <c:v>7.52</c:v>
                </c:pt>
                <c:pt idx="564">
                  <c:v>7.68</c:v>
                </c:pt>
                <c:pt idx="565">
                  <c:v>7.06</c:v>
                </c:pt>
                <c:pt idx="566">
                  <c:v>7.33</c:v>
                </c:pt>
                <c:pt idx="567">
                  <c:v>6.71</c:v>
                </c:pt>
                <c:pt idx="568">
                  <c:v>7.67</c:v>
                </c:pt>
                <c:pt idx="569">
                  <c:v>6.73</c:v>
                </c:pt>
                <c:pt idx="570">
                  <c:v>5.61</c:v>
                </c:pt>
                <c:pt idx="571">
                  <c:v>8.68</c:v>
                </c:pt>
                <c:pt idx="572">
                  <c:v>3.30</c:v>
                </c:pt>
                <c:pt idx="573">
                  <c:v>5.03</c:v>
                </c:pt>
                <c:pt idx="574">
                  <c:v>5.56</c:v>
                </c:pt>
                <c:pt idx="575">
                  <c:v>9.27</c:v>
                </c:pt>
                <c:pt idx="576">
                  <c:v>4.68</c:v>
                </c:pt>
                <c:pt idx="577">
                  <c:v>9.01</c:v>
                </c:pt>
                <c:pt idx="578">
                  <c:v>7.00</c:v>
                </c:pt>
                <c:pt idx="579">
                  <c:v>8.85</c:v>
                </c:pt>
                <c:pt idx="580">
                  <c:v>9.18</c:v>
                </c:pt>
                <c:pt idx="581">
                  <c:v>6.23</c:v>
                </c:pt>
                <c:pt idx="582">
                  <c:v>4.00</c:v>
                </c:pt>
                <c:pt idx="583">
                  <c:v>9.96</c:v>
                </c:pt>
                <c:pt idx="584">
                  <c:v>6.44</c:v>
                </c:pt>
                <c:pt idx="585">
                  <c:v>8.79</c:v>
                </c:pt>
                <c:pt idx="586">
                  <c:v>5.67</c:v>
                </c:pt>
                <c:pt idx="587">
                  <c:v>3.30</c:v>
                </c:pt>
                <c:pt idx="588">
                  <c:v>10.30</c:v>
                </c:pt>
                <c:pt idx="589">
                  <c:v>8.71</c:v>
                </c:pt>
                <c:pt idx="590">
                  <c:v>4.59</c:v>
                </c:pt>
                <c:pt idx="591">
                  <c:v>6.06</c:v>
                </c:pt>
                <c:pt idx="592">
                  <c:v>11.80</c:v>
                </c:pt>
                <c:pt idx="593">
                  <c:v>9.93</c:v>
                </c:pt>
                <c:pt idx="594">
                  <c:v>7.22</c:v>
                </c:pt>
                <c:pt idx="595">
                  <c:v>5.45</c:v>
                </c:pt>
                <c:pt idx="596">
                  <c:v>8.14</c:v>
                </c:pt>
                <c:pt idx="597">
                  <c:v>9.62</c:v>
                </c:pt>
                <c:pt idx="598">
                  <c:v>9.47</c:v>
                </c:pt>
                <c:pt idx="599">
                  <c:v>12.20</c:v>
                </c:pt>
                <c:pt idx="600">
                  <c:v>9.21</c:v>
                </c:pt>
                <c:pt idx="601">
                  <c:v>7.59</c:v>
                </c:pt>
                <c:pt idx="602">
                  <c:v>5.23</c:v>
                </c:pt>
                <c:pt idx="603">
                  <c:v>6.36</c:v>
                </c:pt>
                <c:pt idx="604">
                  <c:v>5.03</c:v>
                </c:pt>
                <c:pt idx="605">
                  <c:v>4.50</c:v>
                </c:pt>
                <c:pt idx="606">
                  <c:v>3.60</c:v>
                </c:pt>
                <c:pt idx="607">
                  <c:v>9.58</c:v>
                </c:pt>
                <c:pt idx="608">
                  <c:v>6.09</c:v>
                </c:pt>
                <c:pt idx="609">
                  <c:v>4.00</c:v>
                </c:pt>
                <c:pt idx="610">
                  <c:v>5.53</c:v>
                </c:pt>
                <c:pt idx="611">
                  <c:v>6.78</c:v>
                </c:pt>
                <c:pt idx="612">
                  <c:v>5.86</c:v>
                </c:pt>
                <c:pt idx="613">
                  <c:v>6.23</c:v>
                </c:pt>
                <c:pt idx="614">
                  <c:v>4.69</c:v>
                </c:pt>
                <c:pt idx="615">
                  <c:v>5.93</c:v>
                </c:pt>
                <c:pt idx="616">
                  <c:v>6.76</c:v>
                </c:pt>
                <c:pt idx="617">
                  <c:v>6.69</c:v>
                </c:pt>
                <c:pt idx="618">
                  <c:v>5.61</c:v>
                </c:pt>
                <c:pt idx="619">
                  <c:v>7.37</c:v>
                </c:pt>
                <c:pt idx="620">
                  <c:v>4.00</c:v>
                </c:pt>
                <c:pt idx="621">
                  <c:v>5.58</c:v>
                </c:pt>
                <c:pt idx="622">
                  <c:v>6.18</c:v>
                </c:pt>
                <c:pt idx="623">
                  <c:v>8.42</c:v>
                </c:pt>
                <c:pt idx="624">
                  <c:v>5.21</c:v>
                </c:pt>
                <c:pt idx="625">
                  <c:v>1.70</c:v>
                </c:pt>
                <c:pt idx="626">
                  <c:v>6.86</c:v>
                </c:pt>
                <c:pt idx="627">
                  <c:v>5.25</c:v>
                </c:pt>
                <c:pt idx="628">
                  <c:v>8.34</c:v>
                </c:pt>
                <c:pt idx="629">
                  <c:v>7.45</c:v>
                </c:pt>
                <c:pt idx="630">
                  <c:v>7.45</c:v>
                </c:pt>
                <c:pt idx="631">
                  <c:v>4.96</c:v>
                </c:pt>
                <c:pt idx="632">
                  <c:v>6.46</c:v>
                </c:pt>
                <c:pt idx="633">
                  <c:v>11.50</c:v>
                </c:pt>
                <c:pt idx="634">
                  <c:v>6.17</c:v>
                </c:pt>
                <c:pt idx="635">
                  <c:v>4.14</c:v>
                </c:pt>
                <c:pt idx="636">
                  <c:v>5.58</c:v>
                </c:pt>
                <c:pt idx="637">
                  <c:v>4.03</c:v>
                </c:pt>
                <c:pt idx="638">
                  <c:v>8.72</c:v>
                </c:pt>
                <c:pt idx="639">
                  <c:v>8.05</c:v>
                </c:pt>
                <c:pt idx="640">
                  <c:v>4.32</c:v>
                </c:pt>
                <c:pt idx="641">
                  <c:v>7.58</c:v>
                </c:pt>
                <c:pt idx="642">
                  <c:v>9.62</c:v>
                </c:pt>
                <c:pt idx="643">
                  <c:v>8.69</c:v>
                </c:pt>
                <c:pt idx="644">
                  <c:v>6.51</c:v>
                </c:pt>
                <c:pt idx="645">
                  <c:v>5.85</c:v>
                </c:pt>
                <c:pt idx="646">
                  <c:v>5.96</c:v>
                </c:pt>
                <c:pt idx="647">
                  <c:v>2.70</c:v>
                </c:pt>
                <c:pt idx="648">
                  <c:v>13.00</c:v>
                </c:pt>
                <c:pt idx="649">
                  <c:v>5.36</c:v>
                </c:pt>
                <c:pt idx="650">
                  <c:v>8.54</c:v>
                </c:pt>
                <c:pt idx="651">
                  <c:v>4.69</c:v>
                </c:pt>
                <c:pt idx="652">
                  <c:v>9.91</c:v>
                </c:pt>
                <c:pt idx="653">
                  <c:v>8.55</c:v>
                </c:pt>
                <c:pt idx="654">
                  <c:v>8.08</c:v>
                </c:pt>
                <c:pt idx="655">
                  <c:v>4.17</c:v>
                </c:pt>
                <c:pt idx="656">
                  <c:v>5.34</c:v>
                </c:pt>
                <c:pt idx="657">
                  <c:v>4.37</c:v>
                </c:pt>
                <c:pt idx="658">
                  <c:v>6.65</c:v>
                </c:pt>
                <c:pt idx="659">
                  <c:v>Temps d'achat</c:v>
                </c:pt>
              </c:strCache>
            </c:strRef>
          </c:xVal>
          <c:yVal>
            <c:numRef>
              <c:f>DATA!$C$2:$C$663</c:f>
              <c:numCache>
                <c:formatCode>_-* #\ ##0.00\ "€"_-;\-* #\ ##0.00\ "€"_-;_-* "-"??\ "€"_-;_-@</c:formatCode>
                <c:ptCount val="662"/>
                <c:pt idx="0">
                  <c:v>48.26</c:v>
                </c:pt>
                <c:pt idx="1">
                  <c:v>48.26</c:v>
                </c:pt>
                <c:pt idx="2">
                  <c:v>48.26</c:v>
                </c:pt>
                <c:pt idx="3">
                  <c:v>44.64</c:v>
                </c:pt>
                <c:pt idx="4">
                  <c:v>53.17</c:v>
                </c:pt>
                <c:pt idx="5">
                  <c:v>67.66</c:v>
                </c:pt>
                <c:pt idx="6">
                  <c:v>36.57</c:v>
                </c:pt>
                <c:pt idx="7">
                  <c:v>31.37</c:v>
                </c:pt>
                <c:pt idx="8">
                  <c:v>48.26</c:v>
                </c:pt>
                <c:pt idx="9">
                  <c:v>90.99</c:v>
                </c:pt>
                <c:pt idx="10">
                  <c:v>36.99</c:v>
                </c:pt>
                <c:pt idx="11">
                  <c:v>86.36</c:v>
                </c:pt>
                <c:pt idx="12">
                  <c:v>89.46</c:v>
                </c:pt>
                <c:pt idx="13">
                  <c:v>66.72</c:v>
                </c:pt>
                <c:pt idx="14">
                  <c:v>94.71</c:v>
                </c:pt>
                <c:pt idx="15">
                  <c:v>80.31</c:v>
                </c:pt>
                <c:pt idx="16">
                  <c:v>51</c:v>
                </c:pt>
                <c:pt idx="17">
                  <c:v>33.03</c:v>
                </c:pt>
                <c:pt idx="18">
                  <c:v>99.73</c:v>
                </c:pt>
                <c:pt idx="19">
                  <c:v>90.66</c:v>
                </c:pt>
                <c:pt idx="20">
                  <c:v>48.26</c:v>
                </c:pt>
                <c:pt idx="21">
                  <c:v>48.26</c:v>
                </c:pt>
                <c:pt idx="22">
                  <c:v>67.36</c:v>
                </c:pt>
                <c:pt idx="23">
                  <c:v>118.54</c:v>
                </c:pt>
                <c:pt idx="24">
                  <c:v>72.25</c:v>
                </c:pt>
                <c:pt idx="25">
                  <c:v>47.04</c:v>
                </c:pt>
                <c:pt idx="26">
                  <c:v>38.1</c:v>
                </c:pt>
                <c:pt idx="27">
                  <c:v>94.26</c:v>
                </c:pt>
                <c:pt idx="28">
                  <c:v>95.73</c:v>
                </c:pt>
                <c:pt idx="29">
                  <c:v>75.459999999999994</c:v>
                </c:pt>
                <c:pt idx="30">
                  <c:v>63.38</c:v>
                </c:pt>
                <c:pt idx="31">
                  <c:v>56.59</c:v>
                </c:pt>
                <c:pt idx="32">
                  <c:v>40.79</c:v>
                </c:pt>
                <c:pt idx="33">
                  <c:v>72.349999999999994</c:v>
                </c:pt>
                <c:pt idx="34">
                  <c:v>103.09</c:v>
                </c:pt>
                <c:pt idx="35">
                  <c:v>48.26</c:v>
                </c:pt>
                <c:pt idx="36">
                  <c:v>48.26</c:v>
                </c:pt>
                <c:pt idx="37">
                  <c:v>60.49</c:v>
                </c:pt>
                <c:pt idx="38">
                  <c:v>51.67</c:v>
                </c:pt>
                <c:pt idx="39">
                  <c:v>69.099999999999994</c:v>
                </c:pt>
                <c:pt idx="40">
                  <c:v>57.95</c:v>
                </c:pt>
                <c:pt idx="41">
                  <c:v>54.74</c:v>
                </c:pt>
                <c:pt idx="42">
                  <c:v>61.9</c:v>
                </c:pt>
                <c:pt idx="43">
                  <c:v>66.650000000000006</c:v>
                </c:pt>
                <c:pt idx="44">
                  <c:v>87.01</c:v>
                </c:pt>
                <c:pt idx="45">
                  <c:v>36.71</c:v>
                </c:pt>
                <c:pt idx="46">
                  <c:v>71.98</c:v>
                </c:pt>
                <c:pt idx="47">
                  <c:v>22.81</c:v>
                </c:pt>
                <c:pt idx="48">
                  <c:v>48.26</c:v>
                </c:pt>
                <c:pt idx="49">
                  <c:v>48.26</c:v>
                </c:pt>
                <c:pt idx="50">
                  <c:v>48.26</c:v>
                </c:pt>
                <c:pt idx="51">
                  <c:v>48.26</c:v>
                </c:pt>
                <c:pt idx="52">
                  <c:v>9.23</c:v>
                </c:pt>
                <c:pt idx="53">
                  <c:v>62.92</c:v>
                </c:pt>
                <c:pt idx="54">
                  <c:v>71.599999999999994</c:v>
                </c:pt>
                <c:pt idx="55">
                  <c:v>70.38</c:v>
                </c:pt>
                <c:pt idx="56">
                  <c:v>38.9</c:v>
                </c:pt>
                <c:pt idx="57">
                  <c:v>67.260000000000005</c:v>
                </c:pt>
                <c:pt idx="58">
                  <c:v>48.26</c:v>
                </c:pt>
                <c:pt idx="59">
                  <c:v>48.26</c:v>
                </c:pt>
                <c:pt idx="60">
                  <c:v>48.26</c:v>
                </c:pt>
                <c:pt idx="61">
                  <c:v>48.26</c:v>
                </c:pt>
                <c:pt idx="62">
                  <c:v>48.26</c:v>
                </c:pt>
                <c:pt idx="63">
                  <c:v>76.47</c:v>
                </c:pt>
                <c:pt idx="64">
                  <c:v>66.209999999999994</c:v>
                </c:pt>
                <c:pt idx="65">
                  <c:v>66.86</c:v>
                </c:pt>
                <c:pt idx="66">
                  <c:v>65.260000000000005</c:v>
                </c:pt>
                <c:pt idx="67">
                  <c:v>47.91</c:v>
                </c:pt>
                <c:pt idx="68">
                  <c:v>57.18</c:v>
                </c:pt>
                <c:pt idx="69">
                  <c:v>20.170000000000002</c:v>
                </c:pt>
                <c:pt idx="70">
                  <c:v>21.98</c:v>
                </c:pt>
                <c:pt idx="71">
                  <c:v>40.15</c:v>
                </c:pt>
                <c:pt idx="72">
                  <c:v>56.39</c:v>
                </c:pt>
                <c:pt idx="73">
                  <c:v>11.95</c:v>
                </c:pt>
                <c:pt idx="74">
                  <c:v>48.26</c:v>
                </c:pt>
                <c:pt idx="75">
                  <c:v>89.98</c:v>
                </c:pt>
                <c:pt idx="76">
                  <c:v>63.34</c:v>
                </c:pt>
                <c:pt idx="77">
                  <c:v>52.93</c:v>
                </c:pt>
                <c:pt idx="78">
                  <c:v>73.45</c:v>
                </c:pt>
                <c:pt idx="79">
                  <c:v>50.18</c:v>
                </c:pt>
                <c:pt idx="80">
                  <c:v>24.61</c:v>
                </c:pt>
                <c:pt idx="81">
                  <c:v>53.52</c:v>
                </c:pt>
                <c:pt idx="82">
                  <c:v>55.73</c:v>
                </c:pt>
                <c:pt idx="83">
                  <c:v>48.26</c:v>
                </c:pt>
                <c:pt idx="84">
                  <c:v>50.61</c:v>
                </c:pt>
                <c:pt idx="85">
                  <c:v>76.010000000000005</c:v>
                </c:pt>
                <c:pt idx="86">
                  <c:v>45.76</c:v>
                </c:pt>
                <c:pt idx="87">
                  <c:v>50.74</c:v>
                </c:pt>
                <c:pt idx="88">
                  <c:v>70.040000000000006</c:v>
                </c:pt>
                <c:pt idx="89">
                  <c:v>47.5</c:v>
                </c:pt>
                <c:pt idx="90">
                  <c:v>34.409999999999997</c:v>
                </c:pt>
                <c:pt idx="91">
                  <c:v>80.03</c:v>
                </c:pt>
                <c:pt idx="92">
                  <c:v>47.74</c:v>
                </c:pt>
                <c:pt idx="93">
                  <c:v>82.68</c:v>
                </c:pt>
                <c:pt idx="94">
                  <c:v>30.81</c:v>
                </c:pt>
                <c:pt idx="95">
                  <c:v>89.07</c:v>
                </c:pt>
                <c:pt idx="96">
                  <c:v>51.98</c:v>
                </c:pt>
                <c:pt idx="97">
                  <c:v>51.99</c:v>
                </c:pt>
                <c:pt idx="98">
                  <c:v>22.59</c:v>
                </c:pt>
                <c:pt idx="99">
                  <c:v>48.26</c:v>
                </c:pt>
                <c:pt idx="100">
                  <c:v>48.26</c:v>
                </c:pt>
                <c:pt idx="101">
                  <c:v>37.07</c:v>
                </c:pt>
                <c:pt idx="102">
                  <c:v>51.12</c:v>
                </c:pt>
                <c:pt idx="103">
                  <c:v>21.46</c:v>
                </c:pt>
                <c:pt idx="104">
                  <c:v>62.96</c:v>
                </c:pt>
                <c:pt idx="105">
                  <c:v>87.42</c:v>
                </c:pt>
                <c:pt idx="106">
                  <c:v>47.98</c:v>
                </c:pt>
                <c:pt idx="107">
                  <c:v>20.309999999999999</c:v>
                </c:pt>
                <c:pt idx="108">
                  <c:v>29.99</c:v>
                </c:pt>
                <c:pt idx="109">
                  <c:v>43.55</c:v>
                </c:pt>
                <c:pt idx="110">
                  <c:v>79.25</c:v>
                </c:pt>
                <c:pt idx="111">
                  <c:v>44.95</c:v>
                </c:pt>
                <c:pt idx="112">
                  <c:v>42.98</c:v>
                </c:pt>
                <c:pt idx="113">
                  <c:v>64.5</c:v>
                </c:pt>
                <c:pt idx="114">
                  <c:v>48.26</c:v>
                </c:pt>
                <c:pt idx="115">
                  <c:v>48.26</c:v>
                </c:pt>
                <c:pt idx="116">
                  <c:v>50.62</c:v>
                </c:pt>
                <c:pt idx="117">
                  <c:v>77.39</c:v>
                </c:pt>
                <c:pt idx="118">
                  <c:v>22.47</c:v>
                </c:pt>
                <c:pt idx="119">
                  <c:v>48.26</c:v>
                </c:pt>
                <c:pt idx="120">
                  <c:v>68.02</c:v>
                </c:pt>
                <c:pt idx="121">
                  <c:v>45.92</c:v>
                </c:pt>
                <c:pt idx="122">
                  <c:v>83.08</c:v>
                </c:pt>
                <c:pt idx="123">
                  <c:v>61.19</c:v>
                </c:pt>
                <c:pt idx="124">
                  <c:v>31.1</c:v>
                </c:pt>
                <c:pt idx="125">
                  <c:v>34.53</c:v>
                </c:pt>
                <c:pt idx="126">
                  <c:v>50.93</c:v>
                </c:pt>
                <c:pt idx="127">
                  <c:v>48.26</c:v>
                </c:pt>
                <c:pt idx="128">
                  <c:v>70.489999999999995</c:v>
                </c:pt>
                <c:pt idx="129">
                  <c:v>76.959999999999994</c:v>
                </c:pt>
                <c:pt idx="130">
                  <c:v>82.05</c:v>
                </c:pt>
                <c:pt idx="131">
                  <c:v>67.95</c:v>
                </c:pt>
                <c:pt idx="132">
                  <c:v>37.39</c:v>
                </c:pt>
                <c:pt idx="133">
                  <c:v>43.81</c:v>
                </c:pt>
                <c:pt idx="134">
                  <c:v>35.58</c:v>
                </c:pt>
                <c:pt idx="135">
                  <c:v>61.28</c:v>
                </c:pt>
                <c:pt idx="136">
                  <c:v>14</c:v>
                </c:pt>
                <c:pt idx="137">
                  <c:v>51.82</c:v>
                </c:pt>
                <c:pt idx="138">
                  <c:v>48.26</c:v>
                </c:pt>
                <c:pt idx="139">
                  <c:v>48.26</c:v>
                </c:pt>
                <c:pt idx="140">
                  <c:v>85.03</c:v>
                </c:pt>
                <c:pt idx="141">
                  <c:v>77.290000000000006</c:v>
                </c:pt>
                <c:pt idx="142">
                  <c:v>79.900000000000006</c:v>
                </c:pt>
                <c:pt idx="143">
                  <c:v>35.380000000000003</c:v>
                </c:pt>
                <c:pt idx="144">
                  <c:v>66.22</c:v>
                </c:pt>
                <c:pt idx="145">
                  <c:v>84.49</c:v>
                </c:pt>
                <c:pt idx="146">
                  <c:v>43.41</c:v>
                </c:pt>
                <c:pt idx="147">
                  <c:v>79.67</c:v>
                </c:pt>
                <c:pt idx="148">
                  <c:v>82.07</c:v>
                </c:pt>
                <c:pt idx="149">
                  <c:v>78.2</c:v>
                </c:pt>
                <c:pt idx="150">
                  <c:v>34.97</c:v>
                </c:pt>
                <c:pt idx="151">
                  <c:v>27.84</c:v>
                </c:pt>
                <c:pt idx="152">
                  <c:v>48.26</c:v>
                </c:pt>
                <c:pt idx="153">
                  <c:v>48.26</c:v>
                </c:pt>
                <c:pt idx="154">
                  <c:v>35.78</c:v>
                </c:pt>
                <c:pt idx="155">
                  <c:v>47.37</c:v>
                </c:pt>
                <c:pt idx="156">
                  <c:v>82.31</c:v>
                </c:pt>
                <c:pt idx="157">
                  <c:v>76.37</c:v>
                </c:pt>
                <c:pt idx="158">
                  <c:v>100.72</c:v>
                </c:pt>
                <c:pt idx="159">
                  <c:v>73.02</c:v>
                </c:pt>
                <c:pt idx="160">
                  <c:v>43.32</c:v>
                </c:pt>
                <c:pt idx="161">
                  <c:v>54.56</c:v>
                </c:pt>
                <c:pt idx="162">
                  <c:v>53.4</c:v>
                </c:pt>
                <c:pt idx="163">
                  <c:v>65.36</c:v>
                </c:pt>
                <c:pt idx="164">
                  <c:v>68.12</c:v>
                </c:pt>
                <c:pt idx="165">
                  <c:v>9.8000000000000007</c:v>
                </c:pt>
                <c:pt idx="166">
                  <c:v>120.86</c:v>
                </c:pt>
                <c:pt idx="167">
                  <c:v>77.13</c:v>
                </c:pt>
                <c:pt idx="168">
                  <c:v>48.26</c:v>
                </c:pt>
                <c:pt idx="169">
                  <c:v>48.26</c:v>
                </c:pt>
                <c:pt idx="170">
                  <c:v>48.26</c:v>
                </c:pt>
                <c:pt idx="171">
                  <c:v>48.26</c:v>
                </c:pt>
                <c:pt idx="172">
                  <c:v>53.41</c:v>
                </c:pt>
                <c:pt idx="173">
                  <c:v>115.29</c:v>
                </c:pt>
                <c:pt idx="174">
                  <c:v>64.83</c:v>
                </c:pt>
                <c:pt idx="175">
                  <c:v>89.08</c:v>
                </c:pt>
                <c:pt idx="176">
                  <c:v>63.52</c:v>
                </c:pt>
                <c:pt idx="177">
                  <c:v>90.42</c:v>
                </c:pt>
                <c:pt idx="178">
                  <c:v>55.42</c:v>
                </c:pt>
                <c:pt idx="179">
                  <c:v>83.38</c:v>
                </c:pt>
                <c:pt idx="180">
                  <c:v>63</c:v>
                </c:pt>
                <c:pt idx="181">
                  <c:v>79.23</c:v>
                </c:pt>
                <c:pt idx="182">
                  <c:v>48.26</c:v>
                </c:pt>
                <c:pt idx="183">
                  <c:v>40.880000000000003</c:v>
                </c:pt>
                <c:pt idx="184">
                  <c:v>29.32</c:v>
                </c:pt>
                <c:pt idx="185">
                  <c:v>55.39</c:v>
                </c:pt>
                <c:pt idx="186">
                  <c:v>59.62</c:v>
                </c:pt>
                <c:pt idx="187">
                  <c:v>42.46</c:v>
                </c:pt>
                <c:pt idx="188">
                  <c:v>61.02</c:v>
                </c:pt>
                <c:pt idx="189">
                  <c:v>67.25</c:v>
                </c:pt>
                <c:pt idx="190">
                  <c:v>80.13</c:v>
                </c:pt>
                <c:pt idx="191">
                  <c:v>61.63</c:v>
                </c:pt>
                <c:pt idx="192">
                  <c:v>52.07</c:v>
                </c:pt>
                <c:pt idx="193">
                  <c:v>52.93</c:v>
                </c:pt>
                <c:pt idx="194">
                  <c:v>29.17</c:v>
                </c:pt>
                <c:pt idx="195">
                  <c:v>45.79</c:v>
                </c:pt>
                <c:pt idx="196">
                  <c:v>88.16</c:v>
                </c:pt>
                <c:pt idx="197">
                  <c:v>87.63</c:v>
                </c:pt>
                <c:pt idx="198">
                  <c:v>48.26</c:v>
                </c:pt>
                <c:pt idx="199">
                  <c:v>48.26</c:v>
                </c:pt>
                <c:pt idx="200">
                  <c:v>48.26</c:v>
                </c:pt>
                <c:pt idx="201">
                  <c:v>48.26</c:v>
                </c:pt>
                <c:pt idx="202">
                  <c:v>48.26</c:v>
                </c:pt>
                <c:pt idx="203">
                  <c:v>48.26</c:v>
                </c:pt>
                <c:pt idx="204">
                  <c:v>75.03</c:v>
                </c:pt>
                <c:pt idx="205">
                  <c:v>52.51</c:v>
                </c:pt>
                <c:pt idx="206">
                  <c:v>73.78</c:v>
                </c:pt>
                <c:pt idx="207">
                  <c:v>81.88</c:v>
                </c:pt>
                <c:pt idx="208">
                  <c:v>70</c:v>
                </c:pt>
                <c:pt idx="209">
                  <c:v>53.57</c:v>
                </c:pt>
                <c:pt idx="210">
                  <c:v>60.5</c:v>
                </c:pt>
                <c:pt idx="211">
                  <c:v>42.51</c:v>
                </c:pt>
                <c:pt idx="212">
                  <c:v>100.82</c:v>
                </c:pt>
                <c:pt idx="213">
                  <c:v>48.26</c:v>
                </c:pt>
                <c:pt idx="214">
                  <c:v>48.26</c:v>
                </c:pt>
                <c:pt idx="215">
                  <c:v>48.26</c:v>
                </c:pt>
                <c:pt idx="216">
                  <c:v>66.13</c:v>
                </c:pt>
                <c:pt idx="217">
                  <c:v>26.77</c:v>
                </c:pt>
                <c:pt idx="218">
                  <c:v>34.770000000000003</c:v>
                </c:pt>
                <c:pt idx="219">
                  <c:v>33.18</c:v>
                </c:pt>
                <c:pt idx="220">
                  <c:v>75.430000000000007</c:v>
                </c:pt>
                <c:pt idx="221">
                  <c:v>37.869999999999997</c:v>
                </c:pt>
                <c:pt idx="222">
                  <c:v>61.87</c:v>
                </c:pt>
                <c:pt idx="223">
                  <c:v>50.34</c:v>
                </c:pt>
                <c:pt idx="224">
                  <c:v>31.65</c:v>
                </c:pt>
                <c:pt idx="225">
                  <c:v>23.5</c:v>
                </c:pt>
                <c:pt idx="226">
                  <c:v>89.68</c:v>
                </c:pt>
                <c:pt idx="227">
                  <c:v>48.26</c:v>
                </c:pt>
                <c:pt idx="228">
                  <c:v>48.26</c:v>
                </c:pt>
                <c:pt idx="229">
                  <c:v>48.26</c:v>
                </c:pt>
                <c:pt idx="230">
                  <c:v>48.26</c:v>
                </c:pt>
                <c:pt idx="231">
                  <c:v>48.26</c:v>
                </c:pt>
                <c:pt idx="232">
                  <c:v>80.430000000000007</c:v>
                </c:pt>
                <c:pt idx="233">
                  <c:v>57.42</c:v>
                </c:pt>
                <c:pt idx="234">
                  <c:v>63.1</c:v>
                </c:pt>
                <c:pt idx="235">
                  <c:v>74.41</c:v>
                </c:pt>
                <c:pt idx="236">
                  <c:v>76.27</c:v>
                </c:pt>
                <c:pt idx="237">
                  <c:v>58.17</c:v>
                </c:pt>
                <c:pt idx="238">
                  <c:v>41.23</c:v>
                </c:pt>
                <c:pt idx="239">
                  <c:v>63.91</c:v>
                </c:pt>
                <c:pt idx="240">
                  <c:v>79.989999999999995</c:v>
                </c:pt>
                <c:pt idx="241">
                  <c:v>34.049999999999997</c:v>
                </c:pt>
                <c:pt idx="242">
                  <c:v>104.75</c:v>
                </c:pt>
                <c:pt idx="243">
                  <c:v>30.68</c:v>
                </c:pt>
                <c:pt idx="244">
                  <c:v>95.17</c:v>
                </c:pt>
                <c:pt idx="245">
                  <c:v>64.69</c:v>
                </c:pt>
                <c:pt idx="246">
                  <c:v>44.29</c:v>
                </c:pt>
                <c:pt idx="247">
                  <c:v>55.21</c:v>
                </c:pt>
                <c:pt idx="248">
                  <c:v>78.58</c:v>
                </c:pt>
                <c:pt idx="249">
                  <c:v>57.83</c:v>
                </c:pt>
                <c:pt idx="250">
                  <c:v>43.75</c:v>
                </c:pt>
                <c:pt idx="251">
                  <c:v>62.98</c:v>
                </c:pt>
                <c:pt idx="252">
                  <c:v>57.6</c:v>
                </c:pt>
                <c:pt idx="253">
                  <c:v>23.33</c:v>
                </c:pt>
                <c:pt idx="254">
                  <c:v>85.37</c:v>
                </c:pt>
                <c:pt idx="255">
                  <c:v>48.26</c:v>
                </c:pt>
                <c:pt idx="256">
                  <c:v>48.26</c:v>
                </c:pt>
                <c:pt idx="257">
                  <c:v>48.26</c:v>
                </c:pt>
                <c:pt idx="258">
                  <c:v>43.95</c:v>
                </c:pt>
                <c:pt idx="259">
                  <c:v>49.24</c:v>
                </c:pt>
                <c:pt idx="260">
                  <c:v>69.86</c:v>
                </c:pt>
                <c:pt idx="261">
                  <c:v>55.31</c:v>
                </c:pt>
                <c:pt idx="262">
                  <c:v>45.65</c:v>
                </c:pt>
                <c:pt idx="263">
                  <c:v>72.510000000000005</c:v>
                </c:pt>
                <c:pt idx="264">
                  <c:v>65.84</c:v>
                </c:pt>
                <c:pt idx="265">
                  <c:v>67.23</c:v>
                </c:pt>
                <c:pt idx="266">
                  <c:v>88.57</c:v>
                </c:pt>
                <c:pt idx="267">
                  <c:v>82.02</c:v>
                </c:pt>
                <c:pt idx="268">
                  <c:v>99.6</c:v>
                </c:pt>
                <c:pt idx="269">
                  <c:v>96.74</c:v>
                </c:pt>
                <c:pt idx="270">
                  <c:v>48.26</c:v>
                </c:pt>
                <c:pt idx="271">
                  <c:v>48.26</c:v>
                </c:pt>
                <c:pt idx="272">
                  <c:v>21.1</c:v>
                </c:pt>
                <c:pt idx="273">
                  <c:v>88.43</c:v>
                </c:pt>
                <c:pt idx="274">
                  <c:v>92.48</c:v>
                </c:pt>
                <c:pt idx="275">
                  <c:v>33.049999999999997</c:v>
                </c:pt>
                <c:pt idx="276">
                  <c:v>50.33</c:v>
                </c:pt>
                <c:pt idx="277">
                  <c:v>49.27</c:v>
                </c:pt>
                <c:pt idx="278">
                  <c:v>92.22</c:v>
                </c:pt>
                <c:pt idx="279">
                  <c:v>41.34</c:v>
                </c:pt>
                <c:pt idx="280">
                  <c:v>58.26</c:v>
                </c:pt>
                <c:pt idx="281">
                  <c:v>53.51</c:v>
                </c:pt>
                <c:pt idx="282">
                  <c:v>11.14</c:v>
                </c:pt>
                <c:pt idx="283">
                  <c:v>83.86</c:v>
                </c:pt>
                <c:pt idx="284">
                  <c:v>74.97</c:v>
                </c:pt>
                <c:pt idx="285">
                  <c:v>48.26</c:v>
                </c:pt>
                <c:pt idx="286">
                  <c:v>48.26</c:v>
                </c:pt>
                <c:pt idx="287">
                  <c:v>48.26</c:v>
                </c:pt>
                <c:pt idx="288">
                  <c:v>48.26</c:v>
                </c:pt>
                <c:pt idx="289">
                  <c:v>48.26</c:v>
                </c:pt>
                <c:pt idx="290">
                  <c:v>76.55</c:v>
                </c:pt>
                <c:pt idx="291">
                  <c:v>96.03</c:v>
                </c:pt>
                <c:pt idx="292">
                  <c:v>57.53</c:v>
                </c:pt>
                <c:pt idx="293">
                  <c:v>62.71</c:v>
                </c:pt>
                <c:pt idx="294">
                  <c:v>79.790000000000006</c:v>
                </c:pt>
                <c:pt idx="295">
                  <c:v>62.56</c:v>
                </c:pt>
                <c:pt idx="296">
                  <c:v>77.760000000000005</c:v>
                </c:pt>
                <c:pt idx="297">
                  <c:v>63.19</c:v>
                </c:pt>
                <c:pt idx="298">
                  <c:v>58.99</c:v>
                </c:pt>
                <c:pt idx="299">
                  <c:v>59.17</c:v>
                </c:pt>
                <c:pt idx="300">
                  <c:v>92.83</c:v>
                </c:pt>
                <c:pt idx="301">
                  <c:v>76.27</c:v>
                </c:pt>
                <c:pt idx="302">
                  <c:v>68.38</c:v>
                </c:pt>
                <c:pt idx="303">
                  <c:v>65.02</c:v>
                </c:pt>
                <c:pt idx="304">
                  <c:v>50.33</c:v>
                </c:pt>
                <c:pt idx="305">
                  <c:v>36.200000000000003</c:v>
                </c:pt>
                <c:pt idx="306">
                  <c:v>76.7</c:v>
                </c:pt>
                <c:pt idx="307">
                  <c:v>31.75</c:v>
                </c:pt>
                <c:pt idx="308">
                  <c:v>59.47</c:v>
                </c:pt>
                <c:pt idx="309">
                  <c:v>48.26</c:v>
                </c:pt>
                <c:pt idx="310">
                  <c:v>48.26</c:v>
                </c:pt>
                <c:pt idx="311">
                  <c:v>71.33</c:v>
                </c:pt>
                <c:pt idx="312">
                  <c:v>56.55</c:v>
                </c:pt>
                <c:pt idx="313">
                  <c:v>93.01</c:v>
                </c:pt>
                <c:pt idx="314">
                  <c:v>31.48</c:v>
                </c:pt>
                <c:pt idx="315">
                  <c:v>49.48</c:v>
                </c:pt>
                <c:pt idx="316">
                  <c:v>19.02</c:v>
                </c:pt>
                <c:pt idx="317">
                  <c:v>37.83</c:v>
                </c:pt>
                <c:pt idx="318">
                  <c:v>100.07</c:v>
                </c:pt>
                <c:pt idx="319">
                  <c:v>45.88</c:v>
                </c:pt>
                <c:pt idx="320">
                  <c:v>42.91</c:v>
                </c:pt>
                <c:pt idx="321">
                  <c:v>34.47</c:v>
                </c:pt>
                <c:pt idx="322">
                  <c:v>62.64</c:v>
                </c:pt>
                <c:pt idx="323">
                  <c:v>61.5</c:v>
                </c:pt>
                <c:pt idx="324">
                  <c:v>59.23</c:v>
                </c:pt>
                <c:pt idx="325">
                  <c:v>67.87</c:v>
                </c:pt>
                <c:pt idx="326">
                  <c:v>110.48</c:v>
                </c:pt>
                <c:pt idx="327">
                  <c:v>48.14</c:v>
                </c:pt>
                <c:pt idx="328">
                  <c:v>44.87</c:v>
                </c:pt>
                <c:pt idx="329">
                  <c:v>18.52</c:v>
                </c:pt>
                <c:pt idx="330">
                  <c:v>110.81</c:v>
                </c:pt>
                <c:pt idx="331">
                  <c:v>83.21</c:v>
                </c:pt>
                <c:pt idx="332">
                  <c:v>48.26</c:v>
                </c:pt>
                <c:pt idx="333">
                  <c:v>48.26</c:v>
                </c:pt>
                <c:pt idx="334">
                  <c:v>48.26</c:v>
                </c:pt>
                <c:pt idx="335">
                  <c:v>48.26</c:v>
                </c:pt>
                <c:pt idx="336">
                  <c:v>48.26</c:v>
                </c:pt>
                <c:pt idx="337">
                  <c:v>58</c:v>
                </c:pt>
                <c:pt idx="338">
                  <c:v>65.28</c:v>
                </c:pt>
                <c:pt idx="339">
                  <c:v>83.15</c:v>
                </c:pt>
                <c:pt idx="340">
                  <c:v>87.4</c:v>
                </c:pt>
                <c:pt idx="341">
                  <c:v>8</c:v>
                </c:pt>
                <c:pt idx="342">
                  <c:v>30.67</c:v>
                </c:pt>
                <c:pt idx="343">
                  <c:v>47.3</c:v>
                </c:pt>
                <c:pt idx="344">
                  <c:v>51.97</c:v>
                </c:pt>
                <c:pt idx="345">
                  <c:v>52.1</c:v>
                </c:pt>
                <c:pt idx="346">
                  <c:v>78.83</c:v>
                </c:pt>
                <c:pt idx="347">
                  <c:v>71.47</c:v>
                </c:pt>
                <c:pt idx="348">
                  <c:v>132.72999999999999</c:v>
                </c:pt>
                <c:pt idx="349">
                  <c:v>43.26</c:v>
                </c:pt>
                <c:pt idx="350">
                  <c:v>6.97</c:v>
                </c:pt>
                <c:pt idx="351">
                  <c:v>105.6</c:v>
                </c:pt>
                <c:pt idx="352">
                  <c:v>98.34</c:v>
                </c:pt>
                <c:pt idx="353">
                  <c:v>48.26</c:v>
                </c:pt>
                <c:pt idx="354">
                  <c:v>48.26</c:v>
                </c:pt>
                <c:pt idx="355">
                  <c:v>48.26</c:v>
                </c:pt>
                <c:pt idx="356">
                  <c:v>53.96</c:v>
                </c:pt>
                <c:pt idx="357">
                  <c:v>54.57</c:v>
                </c:pt>
                <c:pt idx="358">
                  <c:v>66.709999999999994</c:v>
                </c:pt>
                <c:pt idx="359">
                  <c:v>34.28</c:v>
                </c:pt>
                <c:pt idx="360">
                  <c:v>109.79</c:v>
                </c:pt>
                <c:pt idx="361">
                  <c:v>36.31</c:v>
                </c:pt>
                <c:pt idx="362">
                  <c:v>44.27</c:v>
                </c:pt>
                <c:pt idx="363">
                  <c:v>28.76</c:v>
                </c:pt>
                <c:pt idx="364">
                  <c:v>73.69</c:v>
                </c:pt>
                <c:pt idx="365">
                  <c:v>54.49</c:v>
                </c:pt>
                <c:pt idx="366">
                  <c:v>36.21</c:v>
                </c:pt>
                <c:pt idx="367">
                  <c:v>38.61</c:v>
                </c:pt>
                <c:pt idx="368">
                  <c:v>56.37</c:v>
                </c:pt>
                <c:pt idx="369">
                  <c:v>92.43</c:v>
                </c:pt>
                <c:pt idx="370">
                  <c:v>48.26</c:v>
                </c:pt>
                <c:pt idx="371">
                  <c:v>48.26</c:v>
                </c:pt>
                <c:pt idx="372">
                  <c:v>48.26</c:v>
                </c:pt>
                <c:pt idx="373">
                  <c:v>48.26</c:v>
                </c:pt>
                <c:pt idx="374">
                  <c:v>48.26</c:v>
                </c:pt>
                <c:pt idx="375">
                  <c:v>48.26</c:v>
                </c:pt>
                <c:pt idx="376">
                  <c:v>52.97</c:v>
                </c:pt>
                <c:pt idx="377">
                  <c:v>55.5</c:v>
                </c:pt>
                <c:pt idx="378">
                  <c:v>86.46</c:v>
                </c:pt>
                <c:pt idx="379">
                  <c:v>22.54</c:v>
                </c:pt>
                <c:pt idx="380">
                  <c:v>77.92</c:v>
                </c:pt>
                <c:pt idx="381">
                  <c:v>54.71</c:v>
                </c:pt>
                <c:pt idx="382">
                  <c:v>33.450000000000003</c:v>
                </c:pt>
                <c:pt idx="383">
                  <c:v>71.62</c:v>
                </c:pt>
                <c:pt idx="384">
                  <c:v>81.64</c:v>
                </c:pt>
                <c:pt idx="385">
                  <c:v>35.26</c:v>
                </c:pt>
                <c:pt idx="386">
                  <c:v>103.88</c:v>
                </c:pt>
                <c:pt idx="387">
                  <c:v>48.26</c:v>
                </c:pt>
                <c:pt idx="388">
                  <c:v>48.26</c:v>
                </c:pt>
                <c:pt idx="389">
                  <c:v>48.26</c:v>
                </c:pt>
                <c:pt idx="390">
                  <c:v>55.1</c:v>
                </c:pt>
                <c:pt idx="391">
                  <c:v>26.08</c:v>
                </c:pt>
                <c:pt idx="392">
                  <c:v>76.37</c:v>
                </c:pt>
                <c:pt idx="393">
                  <c:v>59.31</c:v>
                </c:pt>
                <c:pt idx="394">
                  <c:v>50.65</c:v>
                </c:pt>
                <c:pt idx="395">
                  <c:v>41.49</c:v>
                </c:pt>
                <c:pt idx="396">
                  <c:v>73.260000000000005</c:v>
                </c:pt>
                <c:pt idx="397">
                  <c:v>59.93</c:v>
                </c:pt>
                <c:pt idx="398">
                  <c:v>20.84</c:v>
                </c:pt>
                <c:pt idx="399">
                  <c:v>51.43</c:v>
                </c:pt>
                <c:pt idx="400">
                  <c:v>25.28</c:v>
                </c:pt>
                <c:pt idx="401">
                  <c:v>26.05</c:v>
                </c:pt>
                <c:pt idx="402">
                  <c:v>57.01</c:v>
                </c:pt>
                <c:pt idx="403">
                  <c:v>48.26</c:v>
                </c:pt>
                <c:pt idx="404">
                  <c:v>48.26</c:v>
                </c:pt>
                <c:pt idx="405">
                  <c:v>48.26</c:v>
                </c:pt>
                <c:pt idx="406">
                  <c:v>48.26</c:v>
                </c:pt>
                <c:pt idx="407">
                  <c:v>52.91</c:v>
                </c:pt>
                <c:pt idx="408">
                  <c:v>42.01</c:v>
                </c:pt>
                <c:pt idx="409">
                  <c:v>60.58</c:v>
                </c:pt>
                <c:pt idx="410">
                  <c:v>83.76</c:v>
                </c:pt>
                <c:pt idx="411">
                  <c:v>48.99</c:v>
                </c:pt>
                <c:pt idx="412">
                  <c:v>46.56</c:v>
                </c:pt>
                <c:pt idx="413">
                  <c:v>64.36</c:v>
                </c:pt>
                <c:pt idx="414">
                  <c:v>22.58</c:v>
                </c:pt>
                <c:pt idx="415">
                  <c:v>42.69</c:v>
                </c:pt>
                <c:pt idx="416">
                  <c:v>77.36</c:v>
                </c:pt>
                <c:pt idx="417">
                  <c:v>32.700000000000003</c:v>
                </c:pt>
                <c:pt idx="418">
                  <c:v>12.65</c:v>
                </c:pt>
                <c:pt idx="419">
                  <c:v>92.08</c:v>
                </c:pt>
                <c:pt idx="420">
                  <c:v>79.36</c:v>
                </c:pt>
                <c:pt idx="421">
                  <c:v>48.26</c:v>
                </c:pt>
                <c:pt idx="422">
                  <c:v>48.26</c:v>
                </c:pt>
                <c:pt idx="423">
                  <c:v>48.26</c:v>
                </c:pt>
                <c:pt idx="424">
                  <c:v>48.26</c:v>
                </c:pt>
                <c:pt idx="425">
                  <c:v>48.26</c:v>
                </c:pt>
                <c:pt idx="426">
                  <c:v>48.26</c:v>
                </c:pt>
                <c:pt idx="427">
                  <c:v>48.26</c:v>
                </c:pt>
                <c:pt idx="428">
                  <c:v>48.26</c:v>
                </c:pt>
                <c:pt idx="429">
                  <c:v>28.75</c:v>
                </c:pt>
                <c:pt idx="430">
                  <c:v>26.63</c:v>
                </c:pt>
                <c:pt idx="431">
                  <c:v>108.17</c:v>
                </c:pt>
                <c:pt idx="432">
                  <c:v>30.74</c:v>
                </c:pt>
                <c:pt idx="433">
                  <c:v>39.82</c:v>
                </c:pt>
                <c:pt idx="434">
                  <c:v>49.92</c:v>
                </c:pt>
                <c:pt idx="435">
                  <c:v>56.08</c:v>
                </c:pt>
                <c:pt idx="436">
                  <c:v>52.4</c:v>
                </c:pt>
                <c:pt idx="437">
                  <c:v>63.35</c:v>
                </c:pt>
                <c:pt idx="438">
                  <c:v>60.12</c:v>
                </c:pt>
                <c:pt idx="439">
                  <c:v>95.39</c:v>
                </c:pt>
                <c:pt idx="440">
                  <c:v>89.32</c:v>
                </c:pt>
                <c:pt idx="441">
                  <c:v>115.37</c:v>
                </c:pt>
                <c:pt idx="442">
                  <c:v>21.73</c:v>
                </c:pt>
                <c:pt idx="443">
                  <c:v>89.26</c:v>
                </c:pt>
                <c:pt idx="444">
                  <c:v>62.46</c:v>
                </c:pt>
                <c:pt idx="445">
                  <c:v>75.75</c:v>
                </c:pt>
                <c:pt idx="446">
                  <c:v>48.4</c:v>
                </c:pt>
                <c:pt idx="447">
                  <c:v>49.8</c:v>
                </c:pt>
                <c:pt idx="448">
                  <c:v>33.97</c:v>
                </c:pt>
                <c:pt idx="449">
                  <c:v>54.93</c:v>
                </c:pt>
                <c:pt idx="450">
                  <c:v>101.92</c:v>
                </c:pt>
                <c:pt idx="451">
                  <c:v>48.26</c:v>
                </c:pt>
                <c:pt idx="452">
                  <c:v>69.06</c:v>
                </c:pt>
                <c:pt idx="453">
                  <c:v>72.56</c:v>
                </c:pt>
                <c:pt idx="454">
                  <c:v>50.29</c:v>
                </c:pt>
                <c:pt idx="455">
                  <c:v>71.040000000000006</c:v>
                </c:pt>
                <c:pt idx="456">
                  <c:v>54.85</c:v>
                </c:pt>
                <c:pt idx="457">
                  <c:v>114.96</c:v>
                </c:pt>
                <c:pt idx="458">
                  <c:v>63.32</c:v>
                </c:pt>
                <c:pt idx="459">
                  <c:v>48.26</c:v>
                </c:pt>
                <c:pt idx="460">
                  <c:v>48.26</c:v>
                </c:pt>
                <c:pt idx="461">
                  <c:v>48.26</c:v>
                </c:pt>
                <c:pt idx="462">
                  <c:v>48.26</c:v>
                </c:pt>
                <c:pt idx="463">
                  <c:v>65.16</c:v>
                </c:pt>
                <c:pt idx="464">
                  <c:v>49.54</c:v>
                </c:pt>
                <c:pt idx="465">
                  <c:v>51.35</c:v>
                </c:pt>
                <c:pt idx="466">
                  <c:v>44.21</c:v>
                </c:pt>
                <c:pt idx="467">
                  <c:v>58.41</c:v>
                </c:pt>
                <c:pt idx="468">
                  <c:v>35.03</c:v>
                </c:pt>
                <c:pt idx="469">
                  <c:v>8.69</c:v>
                </c:pt>
                <c:pt idx="470">
                  <c:v>92.22</c:v>
                </c:pt>
                <c:pt idx="471">
                  <c:v>85.79</c:v>
                </c:pt>
                <c:pt idx="472">
                  <c:v>19.010000000000002</c:v>
                </c:pt>
                <c:pt idx="473">
                  <c:v>48.26</c:v>
                </c:pt>
                <c:pt idx="474">
                  <c:v>48.26</c:v>
                </c:pt>
                <c:pt idx="475">
                  <c:v>48.26</c:v>
                </c:pt>
                <c:pt idx="476">
                  <c:v>100.78</c:v>
                </c:pt>
                <c:pt idx="477">
                  <c:v>49.81</c:v>
                </c:pt>
                <c:pt idx="478">
                  <c:v>79.290000000000006</c:v>
                </c:pt>
                <c:pt idx="479">
                  <c:v>81.08</c:v>
                </c:pt>
                <c:pt idx="480">
                  <c:v>53.62</c:v>
                </c:pt>
                <c:pt idx="481">
                  <c:v>47.69</c:v>
                </c:pt>
                <c:pt idx="482">
                  <c:v>84.48</c:v>
                </c:pt>
                <c:pt idx="483">
                  <c:v>74.09</c:v>
                </c:pt>
                <c:pt idx="484">
                  <c:v>74.44</c:v>
                </c:pt>
                <c:pt idx="485">
                  <c:v>67.12</c:v>
                </c:pt>
                <c:pt idx="486">
                  <c:v>72.92</c:v>
                </c:pt>
                <c:pt idx="487">
                  <c:v>55.88</c:v>
                </c:pt>
                <c:pt idx="488">
                  <c:v>109.42</c:v>
                </c:pt>
                <c:pt idx="489">
                  <c:v>48.26</c:v>
                </c:pt>
                <c:pt idx="490">
                  <c:v>48.26</c:v>
                </c:pt>
                <c:pt idx="491">
                  <c:v>48.26</c:v>
                </c:pt>
                <c:pt idx="492">
                  <c:v>48.26</c:v>
                </c:pt>
                <c:pt idx="493">
                  <c:v>48.26</c:v>
                </c:pt>
                <c:pt idx="494">
                  <c:v>48.26</c:v>
                </c:pt>
                <c:pt idx="495">
                  <c:v>96.31</c:v>
                </c:pt>
                <c:pt idx="496">
                  <c:v>78.39</c:v>
                </c:pt>
                <c:pt idx="497">
                  <c:v>81.53</c:v>
                </c:pt>
                <c:pt idx="498">
                  <c:v>40.14</c:v>
                </c:pt>
                <c:pt idx="499">
                  <c:v>85.29</c:v>
                </c:pt>
                <c:pt idx="500">
                  <c:v>56.8</c:v>
                </c:pt>
                <c:pt idx="501">
                  <c:v>73.25</c:v>
                </c:pt>
                <c:pt idx="502">
                  <c:v>42.01</c:v>
                </c:pt>
                <c:pt idx="503">
                  <c:v>91.39</c:v>
                </c:pt>
                <c:pt idx="504">
                  <c:v>50.94</c:v>
                </c:pt>
                <c:pt idx="505">
                  <c:v>28.32</c:v>
                </c:pt>
                <c:pt idx="506">
                  <c:v>87.75</c:v>
                </c:pt>
                <c:pt idx="507">
                  <c:v>91.79</c:v>
                </c:pt>
                <c:pt idx="508">
                  <c:v>48.26</c:v>
                </c:pt>
                <c:pt idx="509">
                  <c:v>43.95</c:v>
                </c:pt>
                <c:pt idx="510">
                  <c:v>91.16</c:v>
                </c:pt>
                <c:pt idx="511">
                  <c:v>36.72</c:v>
                </c:pt>
                <c:pt idx="512">
                  <c:v>61.2</c:v>
                </c:pt>
                <c:pt idx="513">
                  <c:v>66.959999999999994</c:v>
                </c:pt>
                <c:pt idx="514">
                  <c:v>39.54</c:v>
                </c:pt>
                <c:pt idx="515">
                  <c:v>43.28</c:v>
                </c:pt>
                <c:pt idx="516">
                  <c:v>48.26</c:v>
                </c:pt>
                <c:pt idx="517">
                  <c:v>48.26</c:v>
                </c:pt>
                <c:pt idx="518">
                  <c:v>48.26</c:v>
                </c:pt>
                <c:pt idx="519">
                  <c:v>48.26</c:v>
                </c:pt>
                <c:pt idx="520">
                  <c:v>80.31</c:v>
                </c:pt>
                <c:pt idx="521">
                  <c:v>27.64</c:v>
                </c:pt>
                <c:pt idx="522">
                  <c:v>88.53</c:v>
                </c:pt>
                <c:pt idx="523">
                  <c:v>86.23</c:v>
                </c:pt>
                <c:pt idx="524">
                  <c:v>42.01</c:v>
                </c:pt>
                <c:pt idx="525">
                  <c:v>103.65</c:v>
                </c:pt>
                <c:pt idx="526">
                  <c:v>51</c:v>
                </c:pt>
                <c:pt idx="527">
                  <c:v>51.36</c:v>
                </c:pt>
                <c:pt idx="528">
                  <c:v>91.7</c:v>
                </c:pt>
                <c:pt idx="529">
                  <c:v>51.89</c:v>
                </c:pt>
                <c:pt idx="530">
                  <c:v>44.39</c:v>
                </c:pt>
                <c:pt idx="531">
                  <c:v>45.03</c:v>
                </c:pt>
                <c:pt idx="532">
                  <c:v>38.86</c:v>
                </c:pt>
                <c:pt idx="533">
                  <c:v>50.8</c:v>
                </c:pt>
                <c:pt idx="534">
                  <c:v>48.57</c:v>
                </c:pt>
                <c:pt idx="535">
                  <c:v>48.26</c:v>
                </c:pt>
                <c:pt idx="536">
                  <c:v>48.26</c:v>
                </c:pt>
                <c:pt idx="537">
                  <c:v>62.53</c:v>
                </c:pt>
                <c:pt idx="538">
                  <c:v>46.56</c:v>
                </c:pt>
                <c:pt idx="539">
                  <c:v>55.94</c:v>
                </c:pt>
                <c:pt idx="540">
                  <c:v>48.18</c:v>
                </c:pt>
                <c:pt idx="541">
                  <c:v>58.89</c:v>
                </c:pt>
                <c:pt idx="542">
                  <c:v>43.17</c:v>
                </c:pt>
                <c:pt idx="543">
                  <c:v>105.61</c:v>
                </c:pt>
                <c:pt idx="544">
                  <c:v>48.26</c:v>
                </c:pt>
                <c:pt idx="545">
                  <c:v>24.63</c:v>
                </c:pt>
                <c:pt idx="546">
                  <c:v>55.3</c:v>
                </c:pt>
                <c:pt idx="547">
                  <c:v>70.36</c:v>
                </c:pt>
                <c:pt idx="548">
                  <c:v>67.63</c:v>
                </c:pt>
                <c:pt idx="549">
                  <c:v>66.56</c:v>
                </c:pt>
                <c:pt idx="550">
                  <c:v>80</c:v>
                </c:pt>
                <c:pt idx="551">
                  <c:v>94.07</c:v>
                </c:pt>
                <c:pt idx="552">
                  <c:v>48.26</c:v>
                </c:pt>
                <c:pt idx="553">
                  <c:v>48.26</c:v>
                </c:pt>
                <c:pt idx="554">
                  <c:v>67.36</c:v>
                </c:pt>
                <c:pt idx="555">
                  <c:v>48.83</c:v>
                </c:pt>
                <c:pt idx="556">
                  <c:v>77.319999999999993</c:v>
                </c:pt>
                <c:pt idx="557">
                  <c:v>38.450000000000003</c:v>
                </c:pt>
                <c:pt idx="558">
                  <c:v>70.88</c:v>
                </c:pt>
                <c:pt idx="559">
                  <c:v>93.63</c:v>
                </c:pt>
                <c:pt idx="560">
                  <c:v>99.72</c:v>
                </c:pt>
                <c:pt idx="561">
                  <c:v>67.2</c:v>
                </c:pt>
                <c:pt idx="562">
                  <c:v>100.55</c:v>
                </c:pt>
                <c:pt idx="563">
                  <c:v>48.26</c:v>
                </c:pt>
                <c:pt idx="564">
                  <c:v>70.06</c:v>
                </c:pt>
                <c:pt idx="565">
                  <c:v>86.68</c:v>
                </c:pt>
                <c:pt idx="566">
                  <c:v>84.13</c:v>
                </c:pt>
                <c:pt idx="567">
                  <c:v>70.739999999999995</c:v>
                </c:pt>
                <c:pt idx="568">
                  <c:v>58.01</c:v>
                </c:pt>
                <c:pt idx="569">
                  <c:v>67.739999999999995</c:v>
                </c:pt>
                <c:pt idx="570">
                  <c:v>47.22</c:v>
                </c:pt>
                <c:pt idx="571">
                  <c:v>42.13</c:v>
                </c:pt>
                <c:pt idx="572">
                  <c:v>41.24</c:v>
                </c:pt>
                <c:pt idx="573">
                  <c:v>48.26</c:v>
                </c:pt>
                <c:pt idx="574">
                  <c:v>48.26</c:v>
                </c:pt>
                <c:pt idx="575">
                  <c:v>63.57</c:v>
                </c:pt>
                <c:pt idx="576">
                  <c:v>50.07</c:v>
                </c:pt>
                <c:pt idx="577">
                  <c:v>61.06</c:v>
                </c:pt>
                <c:pt idx="578">
                  <c:v>38.090000000000003</c:v>
                </c:pt>
                <c:pt idx="579">
                  <c:v>66.16</c:v>
                </c:pt>
                <c:pt idx="580">
                  <c:v>65.19</c:v>
                </c:pt>
                <c:pt idx="581">
                  <c:v>42.26</c:v>
                </c:pt>
                <c:pt idx="582">
                  <c:v>18.28</c:v>
                </c:pt>
                <c:pt idx="583">
                  <c:v>78.3</c:v>
                </c:pt>
                <c:pt idx="584">
                  <c:v>95.27</c:v>
                </c:pt>
                <c:pt idx="585">
                  <c:v>91.53</c:v>
                </c:pt>
                <c:pt idx="586">
                  <c:v>77.45</c:v>
                </c:pt>
                <c:pt idx="587">
                  <c:v>35.11</c:v>
                </c:pt>
                <c:pt idx="588">
                  <c:v>89.49</c:v>
                </c:pt>
                <c:pt idx="589">
                  <c:v>48.26</c:v>
                </c:pt>
                <c:pt idx="590">
                  <c:v>48.26</c:v>
                </c:pt>
                <c:pt idx="591">
                  <c:v>54.51</c:v>
                </c:pt>
                <c:pt idx="592">
                  <c:v>78.2</c:v>
                </c:pt>
                <c:pt idx="593">
                  <c:v>48.26</c:v>
                </c:pt>
                <c:pt idx="594">
                  <c:v>61.92</c:v>
                </c:pt>
                <c:pt idx="595">
                  <c:v>53</c:v>
                </c:pt>
                <c:pt idx="596">
                  <c:v>74.739999999999995</c:v>
                </c:pt>
                <c:pt idx="597">
                  <c:v>92.89</c:v>
                </c:pt>
                <c:pt idx="598">
                  <c:v>75.08</c:v>
                </c:pt>
                <c:pt idx="599">
                  <c:v>90.89</c:v>
                </c:pt>
                <c:pt idx="600">
                  <c:v>62.31</c:v>
                </c:pt>
                <c:pt idx="601">
                  <c:v>83.57</c:v>
                </c:pt>
                <c:pt idx="602">
                  <c:v>40.19</c:v>
                </c:pt>
                <c:pt idx="603">
                  <c:v>67.44</c:v>
                </c:pt>
                <c:pt idx="604">
                  <c:v>31.21</c:v>
                </c:pt>
                <c:pt idx="605">
                  <c:v>64.67</c:v>
                </c:pt>
                <c:pt idx="606">
                  <c:v>30.33</c:v>
                </c:pt>
                <c:pt idx="607">
                  <c:v>48.26</c:v>
                </c:pt>
                <c:pt idx="608">
                  <c:v>65.209999999999994</c:v>
                </c:pt>
                <c:pt idx="609">
                  <c:v>30.62</c:v>
                </c:pt>
                <c:pt idx="610">
                  <c:v>61.26</c:v>
                </c:pt>
                <c:pt idx="611">
                  <c:v>73.25</c:v>
                </c:pt>
                <c:pt idx="612">
                  <c:v>77.989999999999995</c:v>
                </c:pt>
                <c:pt idx="613">
                  <c:v>36.51</c:v>
                </c:pt>
                <c:pt idx="614">
                  <c:v>61.81</c:v>
                </c:pt>
                <c:pt idx="615">
                  <c:v>10.96</c:v>
                </c:pt>
                <c:pt idx="616">
                  <c:v>48.26</c:v>
                </c:pt>
                <c:pt idx="617">
                  <c:v>66.430000000000007</c:v>
                </c:pt>
                <c:pt idx="618">
                  <c:v>71.069999999999993</c:v>
                </c:pt>
                <c:pt idx="619">
                  <c:v>47.75</c:v>
                </c:pt>
                <c:pt idx="620">
                  <c:v>21.99</c:v>
                </c:pt>
                <c:pt idx="621">
                  <c:v>24.34</c:v>
                </c:pt>
                <c:pt idx="622">
                  <c:v>31.57</c:v>
                </c:pt>
                <c:pt idx="623">
                  <c:v>88.33</c:v>
                </c:pt>
                <c:pt idx="624">
                  <c:v>92.88</c:v>
                </c:pt>
                <c:pt idx="625">
                  <c:v>17.32</c:v>
                </c:pt>
                <c:pt idx="626">
                  <c:v>74.760000000000005</c:v>
                </c:pt>
                <c:pt idx="627">
                  <c:v>44.82</c:v>
                </c:pt>
                <c:pt idx="628">
                  <c:v>70.430000000000007</c:v>
                </c:pt>
                <c:pt idx="629">
                  <c:v>62.85</c:v>
                </c:pt>
                <c:pt idx="630">
                  <c:v>35.75</c:v>
                </c:pt>
                <c:pt idx="631">
                  <c:v>35.53</c:v>
                </c:pt>
                <c:pt idx="632">
                  <c:v>69.069999999999993</c:v>
                </c:pt>
                <c:pt idx="633">
                  <c:v>118.49</c:v>
                </c:pt>
                <c:pt idx="634">
                  <c:v>48.26</c:v>
                </c:pt>
                <c:pt idx="635">
                  <c:v>36.58</c:v>
                </c:pt>
                <c:pt idx="636">
                  <c:v>50.66</c:v>
                </c:pt>
                <c:pt idx="637">
                  <c:v>25.68</c:v>
                </c:pt>
                <c:pt idx="638">
                  <c:v>48.26</c:v>
                </c:pt>
                <c:pt idx="639">
                  <c:v>99.96</c:v>
                </c:pt>
                <c:pt idx="640">
                  <c:v>48.26</c:v>
                </c:pt>
                <c:pt idx="641">
                  <c:v>44.09</c:v>
                </c:pt>
                <c:pt idx="642">
                  <c:v>67.069999999999993</c:v>
                </c:pt>
                <c:pt idx="643">
                  <c:v>72.78</c:v>
                </c:pt>
                <c:pt idx="644">
                  <c:v>67.02</c:v>
                </c:pt>
                <c:pt idx="645">
                  <c:v>28.16</c:v>
                </c:pt>
                <c:pt idx="646">
                  <c:v>84.26</c:v>
                </c:pt>
                <c:pt idx="647">
                  <c:v>16.579999999999998</c:v>
                </c:pt>
                <c:pt idx="648">
                  <c:v>67.31</c:v>
                </c:pt>
                <c:pt idx="649">
                  <c:v>48.26</c:v>
                </c:pt>
                <c:pt idx="650">
                  <c:v>42.33</c:v>
                </c:pt>
                <c:pt idx="651">
                  <c:v>46.24</c:v>
                </c:pt>
                <c:pt idx="652">
                  <c:v>48.26</c:v>
                </c:pt>
                <c:pt idx="653">
                  <c:v>39.17</c:v>
                </c:pt>
                <c:pt idx="654">
                  <c:v>89.18</c:v>
                </c:pt>
                <c:pt idx="655">
                  <c:v>48.26</c:v>
                </c:pt>
                <c:pt idx="656">
                  <c:v>70.22</c:v>
                </c:pt>
                <c:pt idx="657">
                  <c:v>23.31</c:v>
                </c:pt>
                <c:pt idx="658">
                  <c:v>55.63</c:v>
                </c:pt>
                <c:pt idx="659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AA-4450-932F-5852059C6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727910"/>
        <c:axId val="139611818"/>
      </c:scatterChart>
      <c:valAx>
        <c:axId val="1061727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temps d'achat en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9611818"/>
        <c:crosses val="autoZero"/>
        <c:crossBetween val="midCat"/>
      </c:valAx>
      <c:valAx>
        <c:axId val="139611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 montant d'achat</a:t>
                </a:r>
              </a:p>
            </c:rich>
          </c:tx>
          <c:overlay val="0"/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617279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'DASH BOARD GM'!$B$6</c:f>
              <c:strCache>
                <c:ptCount val="1"/>
              </c:strCache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cat>
            <c:strRef>
              <c:f>'DASH BOARD GM'!$C$5:$H$5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GM'!$C$6:$H$6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6C9-4DCB-8FAB-E7D3582D944F}"/>
            </c:ext>
          </c:extLst>
        </c:ser>
        <c:ser>
          <c:idx val="1"/>
          <c:order val="1"/>
          <c:tx>
            <c:strRef>
              <c:f>'DASH BOARD GM'!$B$7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'DASH BOARD GM'!$C$5:$H$5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GM'!$C$7:$H$7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#\ ##0[$€]">
                  <c:v>13391.050000000019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C9-4DCB-8FAB-E7D3582D944F}"/>
            </c:ext>
          </c:extLst>
        </c:ser>
        <c:ser>
          <c:idx val="2"/>
          <c:order val="2"/>
          <c:tx>
            <c:strRef>
              <c:f>'DASH BOARD GM'!$B$8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rgbClr val="A5A5A5">
                <a:alpha val="30000"/>
              </a:srgbClr>
            </a:solidFill>
            <a:ln cmpd="sng">
              <a:solidFill>
                <a:srgbClr val="A5A5A5"/>
              </a:solidFill>
            </a:ln>
          </c:spPr>
          <c:cat>
            <c:strRef>
              <c:f>'DASH BOARD GM'!$C$5:$H$5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GM'!$C$8:$H$8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#\ ##0[$€]">
                  <c:v>24898.819999999996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C9-4DCB-8FAB-E7D3582D9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790093"/>
        <c:axId val="512049441"/>
      </c:areaChart>
      <c:catAx>
        <c:axId val="1564790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12049441"/>
        <c:crosses val="autoZero"/>
        <c:auto val="1"/>
        <c:lblAlgn val="ctr"/>
        <c:lblOffset val="100"/>
        <c:noMultiLvlLbl val="1"/>
      </c:catAx>
      <c:valAx>
        <c:axId val="512049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6479009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'DASH BOARD GM'!$H$5:$H$6</c:f>
              <c:strCache>
                <c:ptCount val="2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rgbClr val="6D9EEB"/>
              </a:solidFill>
            </c:spPr>
            <c:extLst>
              <c:ext xmlns:c16="http://schemas.microsoft.com/office/drawing/2014/chart" uri="{C3380CC4-5D6E-409C-BE32-E72D297353CC}">
                <c16:uniqueId val="{00000001-7E1B-480A-8C98-F78DA8DAAC1A}"/>
              </c:ext>
            </c:extLst>
          </c:dPt>
          <c:dPt>
            <c:idx val="1"/>
            <c:bubble3D val="0"/>
            <c:spPr>
              <a:solidFill>
                <a:srgbClr val="F6B26B"/>
              </a:solidFill>
            </c:spPr>
            <c:extLst>
              <c:ext xmlns:c16="http://schemas.microsoft.com/office/drawing/2014/chart" uri="{C3380CC4-5D6E-409C-BE32-E72D297353CC}">
                <c16:uniqueId val="{00000003-7E1B-480A-8C98-F78DA8DAAC1A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7E1B-480A-8C98-F78DA8DAAC1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 BOARD GM'!$B$7:$B$9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'DASH BOARD GM'!$H$7:$H$9</c:f>
              <c:numCache>
                <c:formatCode>#\ ##0[$€]</c:formatCode>
                <c:ptCount val="3"/>
                <c:pt idx="0">
                  <c:v>13391.050000000019</c:v>
                </c:pt>
                <c:pt idx="1">
                  <c:v>24898.819999999996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1B-480A-8C98-F78DA8DAA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Bien de consommation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10'!$A$2:$A$1000</c:f>
              <c:numCache>
                <c:formatCode>General</c:formatCode>
                <c:ptCount val="10"/>
                <c:pt idx="0">
                  <c:v>14</c:v>
                </c:pt>
                <c:pt idx="1">
                  <c:v>19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</c:numCache>
            </c:numRef>
          </c:cat>
          <c:val>
            <c:numRef>
              <c:f>'TOP 10'!$E$2:$E$1000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10</c:v>
                </c:pt>
                <c:pt idx="3">
                  <c:v>15</c:v>
                </c:pt>
                <c:pt idx="4">
                  <c:v>24</c:v>
                </c:pt>
                <c:pt idx="5">
                  <c:v>23</c:v>
                </c:pt>
                <c:pt idx="6">
                  <c:v>18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46-4DD8-8621-3A6F1E63E5C0}"/>
            </c:ext>
          </c:extLst>
        </c:ser>
        <c:ser>
          <c:idx val="1"/>
          <c:order val="1"/>
          <c:tx>
            <c:v>Nourriture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10'!$A$2:$A$1000</c:f>
              <c:numCache>
                <c:formatCode>General</c:formatCode>
                <c:ptCount val="10"/>
                <c:pt idx="0">
                  <c:v>14</c:v>
                </c:pt>
                <c:pt idx="1">
                  <c:v>19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</c:numCache>
            </c:numRef>
          </c:cat>
          <c:val>
            <c:numRef>
              <c:f>'TOP 10'!$G$2:$G$1000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46-4DD8-8621-3A6F1E63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5535279"/>
        <c:axId val="771901958"/>
      </c:barChart>
      <c:catAx>
        <c:axId val="5055352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71901958"/>
        <c:crosses val="autoZero"/>
        <c:auto val="1"/>
        <c:lblAlgn val="ctr"/>
        <c:lblOffset val="100"/>
        <c:noMultiLvlLbl val="1"/>
      </c:catAx>
      <c:valAx>
        <c:axId val="7719019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0553527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'DASH BOARD GM'!$B$7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'DASH BOARD GM'!$C$5:$H$6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GM'!$C$7:$H$7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 formatCode="#\ ##0[$€]">
                  <c:v>13391.050000000019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1-4FCE-A311-B2A6294A42B4}"/>
            </c:ext>
          </c:extLst>
        </c:ser>
        <c:ser>
          <c:idx val="1"/>
          <c:order val="1"/>
          <c:tx>
            <c:strRef>
              <c:f>'DASH BOARD GM'!$B$8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'DASH BOARD GM'!$C$5:$H$6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GM'!$C$8:$H$8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 formatCode="#\ ##0[$€]">
                  <c:v>24898.819999999996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01-4FCE-A311-B2A6294A42B4}"/>
            </c:ext>
          </c:extLst>
        </c:ser>
        <c:ser>
          <c:idx val="2"/>
          <c:order val="2"/>
          <c:tx>
            <c:strRef>
              <c:f>'DASH BOARD GM'!$B$9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'DASH BOARD GM'!$C$5:$H$6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'DASH BOARD GM'!$C$9:$H$9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 formatCode="#\ ##0[$€]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01-4FCE-A311-B2A6294A4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850799"/>
        <c:axId val="1426555295"/>
      </c:lineChart>
      <c:catAx>
        <c:axId val="167185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6555295"/>
        <c:crosses val="autoZero"/>
        <c:auto val="1"/>
        <c:lblAlgn val="ctr"/>
        <c:lblOffset val="100"/>
        <c:noMultiLvlLbl val="0"/>
      </c:catAx>
      <c:valAx>
        <c:axId val="142655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85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Bien de consommation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10'!$A$2:$A$1000</c:f>
              <c:numCache>
                <c:formatCode>General</c:formatCode>
                <c:ptCount val="10"/>
                <c:pt idx="0">
                  <c:v>14</c:v>
                </c:pt>
                <c:pt idx="1">
                  <c:v>19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</c:numCache>
            </c:numRef>
          </c:cat>
          <c:val>
            <c:numRef>
              <c:f>'TOP 10'!$E$2:$E$1000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10</c:v>
                </c:pt>
                <c:pt idx="3">
                  <c:v>15</c:v>
                </c:pt>
                <c:pt idx="4">
                  <c:v>24</c:v>
                </c:pt>
                <c:pt idx="5">
                  <c:v>23</c:v>
                </c:pt>
                <c:pt idx="6">
                  <c:v>18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20-4017-A0A9-666B5E96C3FE}"/>
            </c:ext>
          </c:extLst>
        </c:ser>
        <c:ser>
          <c:idx val="1"/>
          <c:order val="1"/>
          <c:tx>
            <c:v>Nourriture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'TOP 10'!$A$2:$A$1000</c:f>
              <c:numCache>
                <c:formatCode>General</c:formatCode>
                <c:ptCount val="10"/>
                <c:pt idx="0">
                  <c:v>14</c:v>
                </c:pt>
                <c:pt idx="1">
                  <c:v>19</c:v>
                </c:pt>
                <c:pt idx="2">
                  <c:v>21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</c:numCache>
            </c:numRef>
          </c:cat>
          <c:val>
            <c:numRef>
              <c:f>'TOP 10'!$G$2:$G$1000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020-4017-A0A9-666B5E96C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9647333"/>
        <c:axId val="2086370083"/>
      </c:barChart>
      <c:catAx>
        <c:axId val="9296473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86370083"/>
        <c:crosses val="autoZero"/>
        <c:auto val="1"/>
        <c:lblAlgn val="ctr"/>
        <c:lblOffset val="100"/>
        <c:noMultiLvlLbl val="1"/>
      </c:catAx>
      <c:valAx>
        <c:axId val="20863700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2964733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  <a:endParaRPr lang="fr-FR"/>
        </a:p>
      </c:txPr>
    </c:legend>
    <c:plotVisOnly val="1"/>
    <c:dispBlanksAs val="zero"/>
    <c:showDLblsOverMax val="1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95</xdr:row>
      <xdr:rowOff>95250</xdr:rowOff>
    </xdr:from>
    <xdr:ext cx="9267825" cy="418147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485775</xdr:colOff>
      <xdr:row>44</xdr:row>
      <xdr:rowOff>190500</xdr:rowOff>
    </xdr:from>
    <xdr:ext cx="9191625" cy="43434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466725</xdr:colOff>
      <xdr:row>118</xdr:row>
      <xdr:rowOff>409575</xdr:rowOff>
    </xdr:from>
    <xdr:ext cx="9324975" cy="46196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266700</xdr:colOff>
      <xdr:row>69</xdr:row>
      <xdr:rowOff>171450</xdr:rowOff>
    </xdr:from>
    <xdr:ext cx="9601200" cy="4333875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714375</xdr:colOff>
      <xdr:row>54</xdr:row>
      <xdr:rowOff>0</xdr:rowOff>
    </xdr:from>
    <xdr:ext cx="3571875" cy="7048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4825" y="3432338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accent2"/>
            </a:buClr>
            <a:buSzPts val="1400"/>
            <a:buFont typeface="Calibri"/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266700</xdr:colOff>
      <xdr:row>19</xdr:row>
      <xdr:rowOff>166687</xdr:rowOff>
    </xdr:from>
    <xdr:to>
      <xdr:col>9</xdr:col>
      <xdr:colOff>838200</xdr:colOff>
      <xdr:row>41</xdr:row>
      <xdr:rowOff>85725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9129E92-F9F5-A34B-89FA-EC1CBF4A0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hima" refreshedDate="45143.72437708333" refreshedVersion="8" recordCount="660" xr:uid="{00000000-000A-0000-FFFF-FFFF00000000}">
  <cacheSource type="worksheet">
    <worksheetSource ref="A1:D661" sheet="DATA"/>
  </cacheSource>
  <cacheFields count="4">
    <cacheField name="client affilié" numFmtId="0">
      <sharedItems containsMixedTypes="1" containsNumber="1" containsInteger="1" minValue="1" maxValue="74" count="6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  <s v="CLIENTS AFFILIES"/>
      </sharedItems>
    </cacheField>
    <cacheField name="temps d'achat" numFmtId="4">
      <sharedItems containsMixedTypes="1" containsNumber="1" minValue="1.5" maxValue="13"/>
    </cacheField>
    <cacheField name="montant d'achat" numFmtId="0">
      <sharedItems containsMixedTypes="1" containsNumber="1" minValue="6.97" maxValue="132.72999999999999"/>
    </cacheField>
    <cacheField name="catégorie d'achat" numFmtId="0">
      <sharedItems count="3">
        <s v="bien de conso."/>
        <s v="nourriture"/>
        <s v="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84"/>
    <n v="48.26"/>
    <x v="0"/>
  </r>
  <r>
    <x v="0"/>
    <n v="6.81"/>
    <n v="48.26"/>
    <x v="0"/>
  </r>
  <r>
    <x v="0"/>
    <n v="5.45"/>
    <n v="48.26"/>
    <x v="0"/>
  </r>
  <r>
    <x v="0"/>
    <n v="6.73"/>
    <n v="44.64"/>
    <x v="1"/>
  </r>
  <r>
    <x v="0"/>
    <n v="7.93"/>
    <n v="53.17"/>
    <x v="1"/>
  </r>
  <r>
    <x v="0"/>
    <n v="9.06"/>
    <n v="67.66"/>
    <x v="1"/>
  </r>
  <r>
    <x v="0"/>
    <n v="5.76"/>
    <n v="36.57"/>
    <x v="1"/>
  </r>
  <r>
    <x v="0"/>
    <n v="1.8"/>
    <n v="31.37"/>
    <x v="1"/>
  </r>
  <r>
    <x v="1"/>
    <n v="4.6399999999999997"/>
    <n v="48.26"/>
    <x v="0"/>
  </r>
  <r>
    <x v="1"/>
    <n v="9.4600000000000009"/>
    <n v="90.99"/>
    <x v="0"/>
  </r>
  <r>
    <x v="1"/>
    <n v="7.76"/>
    <n v="36.99"/>
    <x v="1"/>
  </r>
  <r>
    <x v="1"/>
    <n v="8.5399999999999991"/>
    <n v="86.36"/>
    <x v="1"/>
  </r>
  <r>
    <x v="1"/>
    <n v="7.12"/>
    <n v="89.46"/>
    <x v="1"/>
  </r>
  <r>
    <x v="1"/>
    <n v="6.03"/>
    <n v="66.72"/>
    <x v="1"/>
  </r>
  <r>
    <x v="1"/>
    <n v="9.73"/>
    <n v="94.71"/>
    <x v="1"/>
  </r>
  <r>
    <x v="1"/>
    <n v="5.96"/>
    <n v="80.31"/>
    <x v="1"/>
  </r>
  <r>
    <x v="1"/>
    <n v="5.0999999999999996"/>
    <n v="51"/>
    <x v="1"/>
  </r>
  <r>
    <x v="1"/>
    <n v="3.3"/>
    <n v="33.03"/>
    <x v="1"/>
  </r>
  <r>
    <x v="1"/>
    <n v="10.7"/>
    <n v="99.73"/>
    <x v="1"/>
  </r>
  <r>
    <x v="1"/>
    <n v="12.4"/>
    <n v="90.66"/>
    <x v="1"/>
  </r>
  <r>
    <x v="2"/>
    <n v="6.22"/>
    <n v="48.26"/>
    <x v="0"/>
  </r>
  <r>
    <x v="2"/>
    <n v="5.63"/>
    <n v="48.26"/>
    <x v="0"/>
  </r>
  <r>
    <x v="2"/>
    <n v="7.71"/>
    <n v="67.36"/>
    <x v="0"/>
  </r>
  <r>
    <x v="2"/>
    <n v="8.93"/>
    <n v="118.54"/>
    <x v="0"/>
  </r>
  <r>
    <x v="2"/>
    <n v="8.1199999999999992"/>
    <n v="72.25"/>
    <x v="0"/>
  </r>
  <r>
    <x v="2"/>
    <n v="5.44"/>
    <n v="47.04"/>
    <x v="1"/>
  </r>
  <r>
    <x v="2"/>
    <n v="5.0999999999999996"/>
    <n v="38.1"/>
    <x v="1"/>
  </r>
  <r>
    <x v="2"/>
    <n v="9.23"/>
    <n v="94.26"/>
    <x v="1"/>
  </r>
  <r>
    <x v="2"/>
    <n v="12"/>
    <n v="95.73"/>
    <x v="1"/>
  </r>
  <r>
    <x v="3"/>
    <n v="9.42"/>
    <n v="75.459999999999994"/>
    <x v="0"/>
  </r>
  <r>
    <x v="3"/>
    <n v="5.12"/>
    <n v="63.38"/>
    <x v="0"/>
  </r>
  <r>
    <x v="3"/>
    <n v="5.83"/>
    <n v="56.59"/>
    <x v="1"/>
  </r>
  <r>
    <x v="3"/>
    <n v="7.06"/>
    <n v="40.79"/>
    <x v="1"/>
  </r>
  <r>
    <x v="3"/>
    <n v="9.86"/>
    <n v="72.349999999999994"/>
    <x v="1"/>
  </r>
  <r>
    <x v="3"/>
    <n v="10.4"/>
    <n v="103.09"/>
    <x v="1"/>
  </r>
  <r>
    <x v="4"/>
    <n v="7.28"/>
    <n v="48.26"/>
    <x v="0"/>
  </r>
  <r>
    <x v="4"/>
    <n v="5.43"/>
    <n v="48.26"/>
    <x v="0"/>
  </r>
  <r>
    <x v="4"/>
    <n v="8.2200000000000006"/>
    <n v="60.49"/>
    <x v="0"/>
  </r>
  <r>
    <x v="4"/>
    <n v="4.04"/>
    <n v="51.67"/>
    <x v="1"/>
  </r>
  <r>
    <x v="4"/>
    <n v="7.66"/>
    <n v="69.099999999999994"/>
    <x v="1"/>
  </r>
  <r>
    <x v="4"/>
    <n v="4.24"/>
    <n v="57.95"/>
    <x v="1"/>
  </r>
  <r>
    <x v="4"/>
    <n v="6.85"/>
    <n v="54.74"/>
    <x v="1"/>
  </r>
  <r>
    <x v="4"/>
    <n v="6.8"/>
    <n v="61.9"/>
    <x v="1"/>
  </r>
  <r>
    <x v="4"/>
    <n v="8.52"/>
    <n v="66.650000000000006"/>
    <x v="1"/>
  </r>
  <r>
    <x v="4"/>
    <n v="8.68"/>
    <n v="87.01"/>
    <x v="1"/>
  </r>
  <r>
    <x v="4"/>
    <n v="7.29"/>
    <n v="36.71"/>
    <x v="1"/>
  </r>
  <r>
    <x v="4"/>
    <n v="5.73"/>
    <n v="71.98"/>
    <x v="1"/>
  </r>
  <r>
    <x v="4"/>
    <n v="1.5"/>
    <n v="22.81"/>
    <x v="1"/>
  </r>
  <r>
    <x v="5"/>
    <n v="9.0500000000000007"/>
    <n v="48.26"/>
    <x v="0"/>
  </r>
  <r>
    <x v="5"/>
    <n v="6.34"/>
    <n v="48.26"/>
    <x v="0"/>
  </r>
  <r>
    <x v="5"/>
    <n v="8.98"/>
    <n v="48.26"/>
    <x v="0"/>
  </r>
  <r>
    <x v="5"/>
    <n v="7.52"/>
    <n v="48.26"/>
    <x v="0"/>
  </r>
  <r>
    <x v="5"/>
    <n v="4.68"/>
    <n v="9.23"/>
    <x v="0"/>
  </r>
  <r>
    <x v="5"/>
    <n v="4.78"/>
    <n v="62.92"/>
    <x v="0"/>
  </r>
  <r>
    <x v="5"/>
    <n v="7.33"/>
    <n v="71.599999999999994"/>
    <x v="1"/>
  </r>
  <r>
    <x v="5"/>
    <n v="9.33"/>
    <n v="70.38"/>
    <x v="1"/>
  </r>
  <r>
    <x v="5"/>
    <n v="2.5"/>
    <n v="38.9"/>
    <x v="1"/>
  </r>
  <r>
    <x v="5"/>
    <n v="1.8"/>
    <n v="67.260000000000005"/>
    <x v="1"/>
  </r>
  <r>
    <x v="6"/>
    <n v="9.9499999999999993"/>
    <n v="48.26"/>
    <x v="0"/>
  </r>
  <r>
    <x v="6"/>
    <n v="7.45"/>
    <n v="48.26"/>
    <x v="0"/>
  </r>
  <r>
    <x v="6"/>
    <n v="6.43"/>
    <n v="48.26"/>
    <x v="0"/>
  </r>
  <r>
    <x v="6"/>
    <n v="7.75"/>
    <n v="48.26"/>
    <x v="0"/>
  </r>
  <r>
    <x v="6"/>
    <n v="8.9600000000000009"/>
    <n v="48.26"/>
    <x v="0"/>
  </r>
  <r>
    <x v="6"/>
    <n v="4.4400000000000004"/>
    <n v="76.47"/>
    <x v="0"/>
  </r>
  <r>
    <x v="6"/>
    <n v="7.91"/>
    <n v="66.209999999999994"/>
    <x v="0"/>
  </r>
  <r>
    <x v="6"/>
    <n v="5.36"/>
    <n v="66.86"/>
    <x v="0"/>
  </r>
  <r>
    <x v="6"/>
    <n v="8.17"/>
    <n v="65.260000000000005"/>
    <x v="1"/>
  </r>
  <r>
    <x v="6"/>
    <n v="9.5"/>
    <n v="47.91"/>
    <x v="1"/>
  </r>
  <r>
    <x v="6"/>
    <n v="6.99"/>
    <n v="57.18"/>
    <x v="1"/>
  </r>
  <r>
    <x v="6"/>
    <n v="4.3899999999999997"/>
    <n v="20.170000000000002"/>
    <x v="1"/>
  </r>
  <r>
    <x v="6"/>
    <n v="4.0599999999999996"/>
    <n v="21.98"/>
    <x v="1"/>
  </r>
  <r>
    <x v="6"/>
    <n v="5.84"/>
    <n v="40.15"/>
    <x v="1"/>
  </r>
  <r>
    <x v="6"/>
    <n v="5.66"/>
    <n v="56.39"/>
    <x v="1"/>
  </r>
  <r>
    <x v="6"/>
    <n v="3.9"/>
    <n v="11.95"/>
    <x v="1"/>
  </r>
  <r>
    <x v="7"/>
    <n v="5.64"/>
    <n v="48.26"/>
    <x v="0"/>
  </r>
  <r>
    <x v="7"/>
    <n v="8.39"/>
    <n v="89.98"/>
    <x v="0"/>
  </r>
  <r>
    <x v="7"/>
    <n v="9.66"/>
    <n v="63.34"/>
    <x v="1"/>
  </r>
  <r>
    <x v="7"/>
    <n v="4.22"/>
    <n v="52.93"/>
    <x v="1"/>
  </r>
  <r>
    <x v="7"/>
    <n v="9.1999999999999993"/>
    <n v="73.45"/>
    <x v="1"/>
  </r>
  <r>
    <x v="7"/>
    <n v="6.67"/>
    <n v="50.18"/>
    <x v="1"/>
  </r>
  <r>
    <x v="7"/>
    <n v="4.62"/>
    <n v="24.61"/>
    <x v="1"/>
  </r>
  <r>
    <x v="7"/>
    <n v="4.87"/>
    <n v="53.52"/>
    <x v="1"/>
  </r>
  <r>
    <x v="7"/>
    <n v="9.25"/>
    <n v="55.73"/>
    <x v="1"/>
  </r>
  <r>
    <x v="8"/>
    <n v="5.67"/>
    <n v="48.26"/>
    <x v="0"/>
  </r>
  <r>
    <x v="8"/>
    <n v="9.9600000000000009"/>
    <n v="50.61"/>
    <x v="0"/>
  </r>
  <r>
    <x v="8"/>
    <n v="6.5"/>
    <n v="76.010000000000005"/>
    <x v="0"/>
  </r>
  <r>
    <x v="8"/>
    <n v="5.47"/>
    <n v="45.76"/>
    <x v="0"/>
  </r>
  <r>
    <x v="8"/>
    <n v="4.3"/>
    <n v="50.74"/>
    <x v="0"/>
  </r>
  <r>
    <x v="8"/>
    <n v="6.81"/>
    <n v="70.040000000000006"/>
    <x v="1"/>
  </r>
  <r>
    <x v="8"/>
    <n v="5.68"/>
    <n v="47.5"/>
    <x v="1"/>
  </r>
  <r>
    <x v="8"/>
    <n v="4.4400000000000004"/>
    <n v="34.409999999999997"/>
    <x v="1"/>
  </r>
  <r>
    <x v="8"/>
    <n v="9.57"/>
    <n v="80.03"/>
    <x v="1"/>
  </r>
  <r>
    <x v="8"/>
    <n v="6.7"/>
    <n v="47.74"/>
    <x v="1"/>
  </r>
  <r>
    <x v="8"/>
    <n v="9.23"/>
    <n v="82.68"/>
    <x v="1"/>
  </r>
  <r>
    <x v="8"/>
    <n v="4.46"/>
    <n v="30.81"/>
    <x v="1"/>
  </r>
  <r>
    <x v="8"/>
    <n v="8.1199999999999992"/>
    <n v="89.07"/>
    <x v="1"/>
  </r>
  <r>
    <x v="8"/>
    <n v="3.5"/>
    <n v="51.98"/>
    <x v="1"/>
  </r>
  <r>
    <x v="8"/>
    <n v="2.2999999999999998"/>
    <n v="51.99"/>
    <x v="1"/>
  </r>
  <r>
    <x v="8"/>
    <n v="2.1"/>
    <n v="22.59"/>
    <x v="1"/>
  </r>
  <r>
    <x v="9"/>
    <n v="6.69"/>
    <n v="48.26"/>
    <x v="0"/>
  </r>
  <r>
    <x v="9"/>
    <n v="7.21"/>
    <n v="48.26"/>
    <x v="0"/>
  </r>
  <r>
    <x v="9"/>
    <n v="6.76"/>
    <n v="37.07"/>
    <x v="0"/>
  </r>
  <r>
    <x v="9"/>
    <n v="9.75"/>
    <n v="51.12"/>
    <x v="0"/>
  </r>
  <r>
    <x v="9"/>
    <n v="5.46"/>
    <n v="21.46"/>
    <x v="0"/>
  </r>
  <r>
    <x v="9"/>
    <n v="7.27"/>
    <n v="62.96"/>
    <x v="1"/>
  </r>
  <r>
    <x v="9"/>
    <n v="6.95"/>
    <n v="87.42"/>
    <x v="1"/>
  </r>
  <r>
    <x v="9"/>
    <n v="6.96"/>
    <n v="47.98"/>
    <x v="1"/>
  </r>
  <r>
    <x v="9"/>
    <n v="5.65"/>
    <n v="20.309999999999999"/>
    <x v="1"/>
  </r>
  <r>
    <x v="9"/>
    <n v="4.8"/>
    <n v="29.99"/>
    <x v="1"/>
  </r>
  <r>
    <x v="9"/>
    <n v="4.26"/>
    <n v="43.55"/>
    <x v="1"/>
  </r>
  <r>
    <x v="9"/>
    <n v="8.02"/>
    <n v="79.25"/>
    <x v="1"/>
  </r>
  <r>
    <x v="9"/>
    <n v="5.93"/>
    <n v="44.95"/>
    <x v="1"/>
  </r>
  <r>
    <x v="9"/>
    <n v="9.85"/>
    <n v="42.98"/>
    <x v="1"/>
  </r>
  <r>
    <x v="9"/>
    <n v="11.6"/>
    <n v="64.5"/>
    <x v="1"/>
  </r>
  <r>
    <x v="10"/>
    <n v="5.46"/>
    <n v="48.26"/>
    <x v="0"/>
  </r>
  <r>
    <x v="10"/>
    <n v="6.64"/>
    <n v="48.26"/>
    <x v="0"/>
  </r>
  <r>
    <x v="10"/>
    <n v="6.33"/>
    <n v="50.62"/>
    <x v="0"/>
  </r>
  <r>
    <x v="10"/>
    <n v="8.19"/>
    <n v="77.39"/>
    <x v="1"/>
  </r>
  <r>
    <x v="10"/>
    <n v="3.5"/>
    <n v="22.47"/>
    <x v="1"/>
  </r>
  <r>
    <x v="11"/>
    <n v="8.44"/>
    <n v="48.26"/>
    <x v="0"/>
  </r>
  <r>
    <x v="11"/>
    <n v="9.07"/>
    <n v="68.02"/>
    <x v="0"/>
  </r>
  <r>
    <x v="11"/>
    <n v="4.5199999999999996"/>
    <n v="45.92"/>
    <x v="0"/>
  </r>
  <r>
    <x v="11"/>
    <n v="5.61"/>
    <n v="83.08"/>
    <x v="1"/>
  </r>
  <r>
    <x v="11"/>
    <n v="6.96"/>
    <n v="61.19"/>
    <x v="1"/>
  </r>
  <r>
    <x v="11"/>
    <n v="2.4"/>
    <n v="31.1"/>
    <x v="1"/>
  </r>
  <r>
    <x v="11"/>
    <n v="3.7"/>
    <n v="34.53"/>
    <x v="1"/>
  </r>
  <r>
    <x v="11"/>
    <n v="3.9"/>
    <n v="50.93"/>
    <x v="1"/>
  </r>
  <r>
    <x v="12"/>
    <n v="7.11"/>
    <n v="48.26"/>
    <x v="0"/>
  </r>
  <r>
    <x v="12"/>
    <n v="6.16"/>
    <n v="70.489999999999995"/>
    <x v="0"/>
  </r>
  <r>
    <x v="12"/>
    <n v="8.24"/>
    <n v="76.959999999999994"/>
    <x v="0"/>
  </r>
  <r>
    <x v="12"/>
    <n v="4.08"/>
    <n v="82.05"/>
    <x v="0"/>
  </r>
  <r>
    <x v="12"/>
    <n v="7.88"/>
    <n v="67.95"/>
    <x v="1"/>
  </r>
  <r>
    <x v="12"/>
    <n v="5.2"/>
    <n v="37.39"/>
    <x v="1"/>
  </r>
  <r>
    <x v="12"/>
    <n v="4.7699999999999996"/>
    <n v="43.81"/>
    <x v="1"/>
  </r>
  <r>
    <x v="12"/>
    <n v="5.42"/>
    <n v="35.58"/>
    <x v="1"/>
  </r>
  <r>
    <x v="12"/>
    <n v="5.67"/>
    <n v="61.28"/>
    <x v="1"/>
  </r>
  <r>
    <x v="12"/>
    <n v="2.2999999999999998"/>
    <n v="14"/>
    <x v="1"/>
  </r>
  <r>
    <x v="12"/>
    <n v="10.6"/>
    <n v="51.82"/>
    <x v="1"/>
  </r>
  <r>
    <x v="13"/>
    <n v="6.28"/>
    <n v="48.26"/>
    <x v="0"/>
  </r>
  <r>
    <x v="13"/>
    <n v="5.15"/>
    <n v="48.26"/>
    <x v="0"/>
  </r>
  <r>
    <x v="13"/>
    <n v="7.95"/>
    <n v="85.03"/>
    <x v="0"/>
  </r>
  <r>
    <x v="13"/>
    <n v="7.18"/>
    <n v="77.290000000000006"/>
    <x v="0"/>
  </r>
  <r>
    <x v="13"/>
    <n v="9.3800000000000008"/>
    <n v="79.900000000000006"/>
    <x v="1"/>
  </r>
  <r>
    <x v="13"/>
    <n v="8.1199999999999992"/>
    <n v="35.380000000000003"/>
    <x v="1"/>
  </r>
  <r>
    <x v="13"/>
    <n v="7.73"/>
    <n v="66.22"/>
    <x v="1"/>
  </r>
  <r>
    <x v="13"/>
    <n v="8.6"/>
    <n v="84.49"/>
    <x v="1"/>
  </r>
  <r>
    <x v="13"/>
    <n v="5.79"/>
    <n v="43.41"/>
    <x v="1"/>
  </r>
  <r>
    <x v="13"/>
    <n v="6.74"/>
    <n v="79.67"/>
    <x v="1"/>
  </r>
  <r>
    <x v="13"/>
    <n v="9.69"/>
    <n v="82.07"/>
    <x v="1"/>
  </r>
  <r>
    <x v="13"/>
    <n v="6.27"/>
    <n v="78.2"/>
    <x v="1"/>
  </r>
  <r>
    <x v="13"/>
    <n v="1.5"/>
    <n v="34.97"/>
    <x v="1"/>
  </r>
  <r>
    <x v="13"/>
    <n v="3.9"/>
    <n v="27.84"/>
    <x v="1"/>
  </r>
  <r>
    <x v="14"/>
    <n v="9.98"/>
    <n v="48.26"/>
    <x v="0"/>
  </r>
  <r>
    <x v="14"/>
    <n v="9.59"/>
    <n v="48.26"/>
    <x v="0"/>
  </r>
  <r>
    <x v="14"/>
    <n v="4.1399999999999997"/>
    <n v="35.78"/>
    <x v="0"/>
  </r>
  <r>
    <x v="14"/>
    <n v="8.98"/>
    <n v="47.37"/>
    <x v="1"/>
  </r>
  <r>
    <x v="14"/>
    <n v="9.25"/>
    <n v="82.31"/>
    <x v="1"/>
  </r>
  <r>
    <x v="14"/>
    <n v="4.96"/>
    <n v="76.37"/>
    <x v="1"/>
  </r>
  <r>
    <x v="14"/>
    <n v="9.69"/>
    <n v="100.72"/>
    <x v="1"/>
  </r>
  <r>
    <x v="14"/>
    <n v="9.5299999999999994"/>
    <n v="73.02"/>
    <x v="1"/>
  </r>
  <r>
    <x v="14"/>
    <n v="5.35"/>
    <n v="43.32"/>
    <x v="1"/>
  </r>
  <r>
    <x v="14"/>
    <n v="6.65"/>
    <n v="54.56"/>
    <x v="1"/>
  </r>
  <r>
    <x v="14"/>
    <n v="7.42"/>
    <n v="53.4"/>
    <x v="1"/>
  </r>
  <r>
    <x v="14"/>
    <n v="4.62"/>
    <n v="65.36"/>
    <x v="1"/>
  </r>
  <r>
    <x v="14"/>
    <n v="5.59"/>
    <n v="68.12"/>
    <x v="1"/>
  </r>
  <r>
    <x v="14"/>
    <n v="2.6"/>
    <n v="9.8000000000000007"/>
    <x v="1"/>
  </r>
  <r>
    <x v="14"/>
    <n v="12.6"/>
    <n v="120.86"/>
    <x v="1"/>
  </r>
  <r>
    <x v="14"/>
    <n v="10.9"/>
    <n v="77.13"/>
    <x v="1"/>
  </r>
  <r>
    <x v="15"/>
    <n v="5.22"/>
    <n v="48.26"/>
    <x v="0"/>
  </r>
  <r>
    <x v="15"/>
    <n v="5.91"/>
    <n v="48.26"/>
    <x v="0"/>
  </r>
  <r>
    <x v="15"/>
    <n v="9.15"/>
    <n v="48.26"/>
    <x v="0"/>
  </r>
  <r>
    <x v="15"/>
    <n v="4.34"/>
    <n v="48.26"/>
    <x v="0"/>
  </r>
  <r>
    <x v="15"/>
    <n v="9.65"/>
    <n v="53.41"/>
    <x v="0"/>
  </r>
  <r>
    <x v="15"/>
    <n v="8.2899999999999991"/>
    <n v="115.29"/>
    <x v="0"/>
  </r>
  <r>
    <x v="15"/>
    <n v="9.99"/>
    <n v="64.83"/>
    <x v="1"/>
  </r>
  <r>
    <x v="15"/>
    <n v="9.0399999999999991"/>
    <n v="89.08"/>
    <x v="1"/>
  </r>
  <r>
    <x v="15"/>
    <n v="6.49"/>
    <n v="63.52"/>
    <x v="1"/>
  </r>
  <r>
    <x v="15"/>
    <n v="9.3800000000000008"/>
    <n v="90.42"/>
    <x v="1"/>
  </r>
  <r>
    <x v="15"/>
    <n v="6.66"/>
    <n v="55.42"/>
    <x v="1"/>
  </r>
  <r>
    <x v="15"/>
    <n v="8.74"/>
    <n v="83.38"/>
    <x v="1"/>
  </r>
  <r>
    <x v="15"/>
    <n v="2.8"/>
    <n v="63"/>
    <x v="1"/>
  </r>
  <r>
    <x v="15"/>
    <n v="11.9"/>
    <n v="79.23"/>
    <x v="1"/>
  </r>
  <r>
    <x v="16"/>
    <n v="6.06"/>
    <n v="48.26"/>
    <x v="0"/>
  </r>
  <r>
    <x v="16"/>
    <n v="5.35"/>
    <n v="40.880000000000003"/>
    <x v="0"/>
  </r>
  <r>
    <x v="16"/>
    <n v="9.0500000000000007"/>
    <n v="29.32"/>
    <x v="0"/>
  </r>
  <r>
    <x v="16"/>
    <n v="9.66"/>
    <n v="55.39"/>
    <x v="1"/>
  </r>
  <r>
    <x v="16"/>
    <n v="9.17"/>
    <n v="59.62"/>
    <x v="1"/>
  </r>
  <r>
    <x v="16"/>
    <n v="5.24"/>
    <n v="42.46"/>
    <x v="1"/>
  </r>
  <r>
    <x v="16"/>
    <n v="7.7"/>
    <n v="61.02"/>
    <x v="1"/>
  </r>
  <r>
    <x v="16"/>
    <n v="6.05"/>
    <n v="67.25"/>
    <x v="1"/>
  </r>
  <r>
    <x v="16"/>
    <n v="5.99"/>
    <n v="80.13"/>
    <x v="1"/>
  </r>
  <r>
    <x v="16"/>
    <n v="7.93"/>
    <n v="61.63"/>
    <x v="1"/>
  </r>
  <r>
    <x v="16"/>
    <n v="9.1"/>
    <n v="52.07"/>
    <x v="1"/>
  </r>
  <r>
    <x v="16"/>
    <n v="6.91"/>
    <n v="52.93"/>
    <x v="1"/>
  </r>
  <r>
    <x v="16"/>
    <n v="2"/>
    <n v="29.17"/>
    <x v="1"/>
  </r>
  <r>
    <x v="16"/>
    <n v="10.199999999999999"/>
    <n v="45.79"/>
    <x v="1"/>
  </r>
  <r>
    <x v="16"/>
    <n v="10"/>
    <n v="88.16"/>
    <x v="1"/>
  </r>
  <r>
    <x v="16"/>
    <n v="10.1"/>
    <n v="87.63"/>
    <x v="1"/>
  </r>
  <r>
    <x v="17"/>
    <n v="8.39"/>
    <n v="48.26"/>
    <x v="0"/>
  </r>
  <r>
    <x v="17"/>
    <n v="9.1999999999999993"/>
    <n v="48.26"/>
    <x v="0"/>
  </r>
  <r>
    <x v="17"/>
    <n v="8.1"/>
    <n v="48.26"/>
    <x v="0"/>
  </r>
  <r>
    <x v="17"/>
    <n v="6.06"/>
    <n v="48.26"/>
    <x v="0"/>
  </r>
  <r>
    <x v="17"/>
    <n v="9.99"/>
    <n v="48.26"/>
    <x v="0"/>
  </r>
  <r>
    <x v="17"/>
    <n v="5.66"/>
    <n v="48.26"/>
    <x v="0"/>
  </r>
  <r>
    <x v="17"/>
    <n v="7.54"/>
    <n v="75.03"/>
    <x v="0"/>
  </r>
  <r>
    <x v="17"/>
    <n v="4.3"/>
    <n v="52.51"/>
    <x v="0"/>
  </r>
  <r>
    <x v="17"/>
    <n v="7.57"/>
    <n v="73.78"/>
    <x v="1"/>
  </r>
  <r>
    <x v="17"/>
    <n v="6.84"/>
    <n v="81.88"/>
    <x v="1"/>
  </r>
  <r>
    <x v="17"/>
    <n v="4.0199999999999996"/>
    <n v="70"/>
    <x v="1"/>
  </r>
  <r>
    <x v="17"/>
    <n v="7.31"/>
    <n v="53.57"/>
    <x v="1"/>
  </r>
  <r>
    <x v="17"/>
    <n v="6.54"/>
    <n v="60.5"/>
    <x v="1"/>
  </r>
  <r>
    <x v="17"/>
    <n v="2.6"/>
    <n v="42.51"/>
    <x v="1"/>
  </r>
  <r>
    <x v="17"/>
    <n v="11.1"/>
    <n v="100.82"/>
    <x v="1"/>
  </r>
  <r>
    <x v="18"/>
    <n v="6.57"/>
    <n v="48.26"/>
    <x v="0"/>
  </r>
  <r>
    <x v="18"/>
    <n v="7.59"/>
    <n v="48.26"/>
    <x v="0"/>
  </r>
  <r>
    <x v="18"/>
    <n v="5.0999999999999996"/>
    <n v="48.26"/>
    <x v="0"/>
  </r>
  <r>
    <x v="18"/>
    <n v="7.3"/>
    <n v="66.13"/>
    <x v="1"/>
  </r>
  <r>
    <x v="18"/>
    <n v="6.41"/>
    <n v="26.77"/>
    <x v="1"/>
  </r>
  <r>
    <x v="18"/>
    <n v="7.79"/>
    <n v="34.770000000000003"/>
    <x v="1"/>
  </r>
  <r>
    <x v="18"/>
    <n v="6.22"/>
    <n v="33.18"/>
    <x v="1"/>
  </r>
  <r>
    <x v="18"/>
    <n v="7.73"/>
    <n v="75.430000000000007"/>
    <x v="1"/>
  </r>
  <r>
    <x v="18"/>
    <n v="4.12"/>
    <n v="37.869999999999997"/>
    <x v="1"/>
  </r>
  <r>
    <x v="18"/>
    <n v="8.7799999999999994"/>
    <n v="61.87"/>
    <x v="1"/>
  </r>
  <r>
    <x v="18"/>
    <n v="3.8"/>
    <n v="50.34"/>
    <x v="1"/>
  </r>
  <r>
    <x v="18"/>
    <n v="2.9"/>
    <n v="31.65"/>
    <x v="1"/>
  </r>
  <r>
    <x v="18"/>
    <n v="3.8"/>
    <n v="23.5"/>
    <x v="1"/>
  </r>
  <r>
    <x v="18"/>
    <n v="12.7"/>
    <n v="89.68"/>
    <x v="1"/>
  </r>
  <r>
    <x v="19"/>
    <n v="6.41"/>
    <n v="48.26"/>
    <x v="0"/>
  </r>
  <r>
    <x v="19"/>
    <n v="8.31"/>
    <n v="48.26"/>
    <x v="0"/>
  </r>
  <r>
    <x v="19"/>
    <n v="7.31"/>
    <n v="48.26"/>
    <x v="0"/>
  </r>
  <r>
    <x v="19"/>
    <n v="5.93"/>
    <n v="48.26"/>
    <x v="0"/>
  </r>
  <r>
    <x v="19"/>
    <n v="9.0299999999999994"/>
    <n v="48.26"/>
    <x v="0"/>
  </r>
  <r>
    <x v="19"/>
    <n v="7.36"/>
    <n v="80.430000000000007"/>
    <x v="0"/>
  </r>
  <r>
    <x v="19"/>
    <n v="7.69"/>
    <n v="57.42"/>
    <x v="1"/>
  </r>
  <r>
    <x v="19"/>
    <n v="5.88"/>
    <n v="63.1"/>
    <x v="1"/>
  </r>
  <r>
    <x v="19"/>
    <n v="6.68"/>
    <n v="74.41"/>
    <x v="1"/>
  </r>
  <r>
    <x v="19"/>
    <n v="4.78"/>
    <n v="76.27"/>
    <x v="1"/>
  </r>
  <r>
    <x v="19"/>
    <n v="5.0999999999999996"/>
    <n v="58.17"/>
    <x v="1"/>
  </r>
  <r>
    <x v="19"/>
    <n v="8.35"/>
    <n v="41.23"/>
    <x v="1"/>
  </r>
  <r>
    <x v="19"/>
    <n v="7.84"/>
    <n v="63.91"/>
    <x v="1"/>
  </r>
  <r>
    <x v="19"/>
    <n v="6.75"/>
    <n v="79.989999999999995"/>
    <x v="1"/>
  </r>
  <r>
    <x v="19"/>
    <n v="4.46"/>
    <n v="34.049999999999997"/>
    <x v="1"/>
  </r>
  <r>
    <x v="19"/>
    <n v="7.97"/>
    <n v="104.75"/>
    <x v="1"/>
  </r>
  <r>
    <x v="19"/>
    <n v="3"/>
    <n v="30.68"/>
    <x v="1"/>
  </r>
  <r>
    <x v="19"/>
    <n v="11.9"/>
    <n v="95.17"/>
    <x v="1"/>
  </r>
  <r>
    <x v="20"/>
    <n v="7.27"/>
    <n v="64.69"/>
    <x v="1"/>
  </r>
  <r>
    <x v="20"/>
    <n v="4.2"/>
    <n v="44.29"/>
    <x v="1"/>
  </r>
  <r>
    <x v="20"/>
    <n v="7.87"/>
    <n v="55.21"/>
    <x v="1"/>
  </r>
  <r>
    <x v="20"/>
    <n v="9.15"/>
    <n v="78.58"/>
    <x v="1"/>
  </r>
  <r>
    <x v="20"/>
    <n v="9.58"/>
    <n v="57.83"/>
    <x v="1"/>
  </r>
  <r>
    <x v="20"/>
    <n v="6.16"/>
    <n v="43.75"/>
    <x v="1"/>
  </r>
  <r>
    <x v="20"/>
    <n v="6.65"/>
    <n v="62.98"/>
    <x v="1"/>
  </r>
  <r>
    <x v="20"/>
    <n v="9.5299999999999994"/>
    <n v="57.6"/>
    <x v="1"/>
  </r>
  <r>
    <x v="20"/>
    <n v="1.5"/>
    <n v="23.33"/>
    <x v="1"/>
  </r>
  <r>
    <x v="20"/>
    <n v="10.6"/>
    <n v="85.37"/>
    <x v="1"/>
  </r>
  <r>
    <x v="21"/>
    <n v="4.1500000000000004"/>
    <n v="48.26"/>
    <x v="0"/>
  </r>
  <r>
    <x v="21"/>
    <n v="9.8699999999999992"/>
    <n v="48.26"/>
    <x v="0"/>
  </r>
  <r>
    <x v="21"/>
    <n v="8.7200000000000006"/>
    <n v="48.26"/>
    <x v="0"/>
  </r>
  <r>
    <x v="21"/>
    <n v="4.38"/>
    <n v="43.95"/>
    <x v="0"/>
  </r>
  <r>
    <x v="21"/>
    <n v="5.7"/>
    <n v="49.24"/>
    <x v="0"/>
  </r>
  <r>
    <x v="21"/>
    <n v="7.66"/>
    <n v="69.86"/>
    <x v="1"/>
  </r>
  <r>
    <x v="21"/>
    <n v="6.09"/>
    <n v="55.31"/>
    <x v="1"/>
  </r>
  <r>
    <x v="21"/>
    <n v="5.05"/>
    <n v="45.65"/>
    <x v="1"/>
  </r>
  <r>
    <x v="21"/>
    <n v="9.1999999999999993"/>
    <n v="72.510000000000005"/>
    <x v="1"/>
  </r>
  <r>
    <x v="21"/>
    <n v="8.1"/>
    <n v="65.84"/>
    <x v="1"/>
  </r>
  <r>
    <x v="21"/>
    <n v="5.79"/>
    <n v="67.23"/>
    <x v="1"/>
  </r>
  <r>
    <x v="21"/>
    <n v="12.7"/>
    <n v="88.57"/>
    <x v="1"/>
  </r>
  <r>
    <x v="21"/>
    <n v="10.7"/>
    <n v="82.02"/>
    <x v="1"/>
  </r>
  <r>
    <x v="21"/>
    <n v="11.3"/>
    <n v="99.6"/>
    <x v="1"/>
  </r>
  <r>
    <x v="21"/>
    <n v="12.4"/>
    <n v="96.74"/>
    <x v="1"/>
  </r>
  <r>
    <x v="22"/>
    <n v="5.41"/>
    <n v="48.26"/>
    <x v="0"/>
  </r>
  <r>
    <x v="22"/>
    <n v="4.17"/>
    <n v="48.26"/>
    <x v="0"/>
  </r>
  <r>
    <x v="22"/>
    <n v="4.54"/>
    <n v="21.1"/>
    <x v="0"/>
  </r>
  <r>
    <x v="22"/>
    <n v="8.65"/>
    <n v="88.43"/>
    <x v="0"/>
  </r>
  <r>
    <x v="22"/>
    <n v="8.18"/>
    <n v="92.48"/>
    <x v="0"/>
  </r>
  <r>
    <x v="22"/>
    <n v="6.68"/>
    <n v="33.049999999999997"/>
    <x v="0"/>
  </r>
  <r>
    <x v="22"/>
    <n v="4.34"/>
    <n v="50.33"/>
    <x v="0"/>
  </r>
  <r>
    <x v="22"/>
    <n v="4.1500000000000004"/>
    <n v="49.27"/>
    <x v="0"/>
  </r>
  <r>
    <x v="22"/>
    <n v="7.55"/>
    <n v="92.22"/>
    <x v="1"/>
  </r>
  <r>
    <x v="22"/>
    <n v="4.6100000000000003"/>
    <n v="41.34"/>
    <x v="1"/>
  </r>
  <r>
    <x v="22"/>
    <n v="9.3000000000000007"/>
    <n v="58.26"/>
    <x v="1"/>
  </r>
  <r>
    <x v="22"/>
    <n v="8.9700000000000006"/>
    <n v="53.51"/>
    <x v="1"/>
  </r>
  <r>
    <x v="22"/>
    <n v="2.8"/>
    <n v="11.14"/>
    <x v="1"/>
  </r>
  <r>
    <x v="22"/>
    <n v="12.1"/>
    <n v="83.86"/>
    <x v="1"/>
  </r>
  <r>
    <x v="22"/>
    <n v="11.8"/>
    <n v="74.97"/>
    <x v="1"/>
  </r>
  <r>
    <x v="23"/>
    <n v="4.4800000000000004"/>
    <n v="48.26"/>
    <x v="0"/>
  </r>
  <r>
    <x v="23"/>
    <n v="8.6"/>
    <n v="48.26"/>
    <x v="0"/>
  </r>
  <r>
    <x v="23"/>
    <n v="4.05"/>
    <n v="48.26"/>
    <x v="0"/>
  </r>
  <r>
    <x v="23"/>
    <n v="7.9"/>
    <n v="48.26"/>
    <x v="0"/>
  </r>
  <r>
    <x v="23"/>
    <n v="4.66"/>
    <n v="48.26"/>
    <x v="0"/>
  </r>
  <r>
    <x v="23"/>
    <n v="9.2799999999999994"/>
    <n v="76.55"/>
    <x v="0"/>
  </r>
  <r>
    <x v="23"/>
    <n v="5.0599999999999996"/>
    <n v="96.03"/>
    <x v="0"/>
  </r>
  <r>
    <x v="23"/>
    <n v="4.67"/>
    <n v="57.53"/>
    <x v="0"/>
  </r>
  <r>
    <x v="23"/>
    <n v="9.91"/>
    <n v="62.71"/>
    <x v="0"/>
  </r>
  <r>
    <x v="23"/>
    <n v="8.65"/>
    <n v="79.790000000000006"/>
    <x v="0"/>
  </r>
  <r>
    <x v="23"/>
    <n v="6.85"/>
    <n v="62.56"/>
    <x v="1"/>
  </r>
  <r>
    <x v="23"/>
    <n v="9.31"/>
    <n v="77.760000000000005"/>
    <x v="1"/>
  </r>
  <r>
    <x v="23"/>
    <n v="5.61"/>
    <n v="63.19"/>
    <x v="1"/>
  </r>
  <r>
    <x v="23"/>
    <n v="4"/>
    <n v="58.99"/>
    <x v="1"/>
  </r>
  <r>
    <x v="23"/>
    <n v="5.18"/>
    <n v="59.17"/>
    <x v="1"/>
  </r>
  <r>
    <x v="23"/>
    <n v="7.07"/>
    <n v="92.83"/>
    <x v="1"/>
  </r>
  <r>
    <x v="23"/>
    <n v="8.83"/>
    <n v="76.27"/>
    <x v="1"/>
  </r>
  <r>
    <x v="23"/>
    <n v="9.02"/>
    <n v="68.38"/>
    <x v="1"/>
  </r>
  <r>
    <x v="23"/>
    <n v="5.65"/>
    <n v="65.02"/>
    <x v="1"/>
  </r>
  <r>
    <x v="23"/>
    <n v="6.46"/>
    <n v="50.33"/>
    <x v="1"/>
  </r>
  <r>
    <x v="23"/>
    <n v="4.66"/>
    <n v="36.200000000000003"/>
    <x v="1"/>
  </r>
  <r>
    <x v="23"/>
    <n v="6.56"/>
    <n v="76.7"/>
    <x v="1"/>
  </r>
  <r>
    <x v="23"/>
    <n v="7.72"/>
    <n v="31.75"/>
    <x v="1"/>
  </r>
  <r>
    <x v="23"/>
    <n v="8.6199999999999992"/>
    <n v="59.47"/>
    <x v="1"/>
  </r>
  <r>
    <x v="24"/>
    <n v="9.77"/>
    <n v="48.26"/>
    <x v="0"/>
  </r>
  <r>
    <x v="24"/>
    <n v="7.98"/>
    <n v="48.26"/>
    <x v="0"/>
  </r>
  <r>
    <x v="24"/>
    <n v="6.16"/>
    <n v="71.33"/>
    <x v="0"/>
  </r>
  <r>
    <x v="24"/>
    <n v="8.39"/>
    <n v="56.55"/>
    <x v="0"/>
  </r>
  <r>
    <x v="24"/>
    <n v="9.67"/>
    <n v="93.01"/>
    <x v="0"/>
  </r>
  <r>
    <x v="24"/>
    <n v="4.32"/>
    <n v="31.48"/>
    <x v="1"/>
  </r>
  <r>
    <x v="24"/>
    <n v="5.97"/>
    <n v="49.48"/>
    <x v="1"/>
  </r>
  <r>
    <x v="24"/>
    <n v="7.37"/>
    <n v="19.02"/>
    <x v="1"/>
  </r>
  <r>
    <x v="24"/>
    <n v="8.5500000000000007"/>
    <n v="37.83"/>
    <x v="1"/>
  </r>
  <r>
    <x v="24"/>
    <n v="5.94"/>
    <n v="100.07"/>
    <x v="1"/>
  </r>
  <r>
    <x v="24"/>
    <n v="4.57"/>
    <n v="45.88"/>
    <x v="1"/>
  </r>
  <r>
    <x v="24"/>
    <n v="4.99"/>
    <n v="42.91"/>
    <x v="1"/>
  </r>
  <r>
    <x v="24"/>
    <n v="5.48"/>
    <n v="34.47"/>
    <x v="1"/>
  </r>
  <r>
    <x v="24"/>
    <n v="4.88"/>
    <n v="62.64"/>
    <x v="1"/>
  </r>
  <r>
    <x v="24"/>
    <n v="6.28"/>
    <n v="61.5"/>
    <x v="1"/>
  </r>
  <r>
    <x v="24"/>
    <n v="6.25"/>
    <n v="59.23"/>
    <x v="1"/>
  </r>
  <r>
    <x v="24"/>
    <n v="4.78"/>
    <n v="67.87"/>
    <x v="1"/>
  </r>
  <r>
    <x v="24"/>
    <n v="8.0399999999999991"/>
    <n v="110.48"/>
    <x v="1"/>
  </r>
  <r>
    <x v="24"/>
    <n v="2.4"/>
    <n v="48.14"/>
    <x v="1"/>
  </r>
  <r>
    <x v="24"/>
    <n v="3.8"/>
    <n v="44.87"/>
    <x v="1"/>
  </r>
  <r>
    <x v="24"/>
    <n v="4"/>
    <n v="18.52"/>
    <x v="1"/>
  </r>
  <r>
    <x v="24"/>
    <n v="12.5"/>
    <n v="110.81"/>
    <x v="1"/>
  </r>
  <r>
    <x v="24"/>
    <n v="12"/>
    <n v="83.21"/>
    <x v="1"/>
  </r>
  <r>
    <x v="25"/>
    <n v="8.14"/>
    <n v="48.26"/>
    <x v="0"/>
  </r>
  <r>
    <x v="25"/>
    <n v="7.37"/>
    <n v="48.26"/>
    <x v="0"/>
  </r>
  <r>
    <x v="25"/>
    <n v="7.31"/>
    <n v="48.26"/>
    <x v="0"/>
  </r>
  <r>
    <x v="25"/>
    <n v="8.6300000000000008"/>
    <n v="48.26"/>
    <x v="0"/>
  </r>
  <r>
    <x v="25"/>
    <n v="6.23"/>
    <n v="48.26"/>
    <x v="0"/>
  </r>
  <r>
    <x v="25"/>
    <n v="4.76"/>
    <n v="58"/>
    <x v="0"/>
  </r>
  <r>
    <x v="25"/>
    <n v="6.21"/>
    <n v="65.28"/>
    <x v="0"/>
  </r>
  <r>
    <x v="25"/>
    <n v="9.2100000000000009"/>
    <n v="83.15"/>
    <x v="0"/>
  </r>
  <r>
    <x v="25"/>
    <n v="5.78"/>
    <n v="87.4"/>
    <x v="0"/>
  </r>
  <r>
    <x v="25"/>
    <n v="4.18"/>
    <n v="8"/>
    <x v="0"/>
  </r>
  <r>
    <x v="25"/>
    <n v="5.3"/>
    <n v="30.67"/>
    <x v="1"/>
  </r>
  <r>
    <x v="25"/>
    <n v="8.91"/>
    <n v="47.3"/>
    <x v="1"/>
  </r>
  <r>
    <x v="25"/>
    <n v="6.82"/>
    <n v="51.97"/>
    <x v="1"/>
  </r>
  <r>
    <x v="25"/>
    <n v="5.31"/>
    <n v="52.1"/>
    <x v="1"/>
  </r>
  <r>
    <x v="25"/>
    <n v="9.3000000000000007"/>
    <n v="78.83"/>
    <x v="1"/>
  </r>
  <r>
    <x v="25"/>
    <n v="7.81"/>
    <n v="71.47"/>
    <x v="1"/>
  </r>
  <r>
    <x v="25"/>
    <n v="9.68"/>
    <n v="132.72999999999999"/>
    <x v="1"/>
  </r>
  <r>
    <x v="25"/>
    <n v="2.6"/>
    <n v="43.26"/>
    <x v="1"/>
  </r>
  <r>
    <x v="25"/>
    <n v="3.2"/>
    <n v="6.97"/>
    <x v="1"/>
  </r>
  <r>
    <x v="25"/>
    <n v="11.8"/>
    <n v="105.6"/>
    <x v="1"/>
  </r>
  <r>
    <x v="25"/>
    <n v="10"/>
    <n v="98.34"/>
    <x v="1"/>
  </r>
  <r>
    <x v="26"/>
    <n v="4.7"/>
    <n v="48.26"/>
    <x v="0"/>
  </r>
  <r>
    <x v="26"/>
    <n v="4.84"/>
    <n v="48.26"/>
    <x v="0"/>
  </r>
  <r>
    <x v="26"/>
    <n v="6.96"/>
    <n v="48.26"/>
    <x v="0"/>
  </r>
  <r>
    <x v="26"/>
    <n v="7.7"/>
    <n v="53.96"/>
    <x v="0"/>
  </r>
  <r>
    <x v="26"/>
    <n v="6.63"/>
    <n v="54.57"/>
    <x v="0"/>
  </r>
  <r>
    <x v="26"/>
    <n v="9.25"/>
    <n v="66.709999999999994"/>
    <x v="0"/>
  </r>
  <r>
    <x v="26"/>
    <n v="6.63"/>
    <n v="34.28"/>
    <x v="0"/>
  </r>
  <r>
    <x v="26"/>
    <n v="9.7799999999999994"/>
    <n v="109.79"/>
    <x v="1"/>
  </r>
  <r>
    <x v="26"/>
    <n v="4.1100000000000003"/>
    <n v="36.31"/>
    <x v="1"/>
  </r>
  <r>
    <x v="26"/>
    <n v="6.5"/>
    <n v="44.27"/>
    <x v="1"/>
  </r>
  <r>
    <x v="26"/>
    <n v="5.22"/>
    <n v="28.76"/>
    <x v="1"/>
  </r>
  <r>
    <x v="26"/>
    <n v="5.05"/>
    <n v="73.69"/>
    <x v="1"/>
  </r>
  <r>
    <x v="26"/>
    <n v="8.41"/>
    <n v="54.49"/>
    <x v="1"/>
  </r>
  <r>
    <x v="26"/>
    <n v="6.47"/>
    <n v="36.21"/>
    <x v="1"/>
  </r>
  <r>
    <x v="26"/>
    <n v="1.6"/>
    <n v="38.61"/>
    <x v="1"/>
  </r>
  <r>
    <x v="26"/>
    <n v="11.4"/>
    <n v="56.37"/>
    <x v="1"/>
  </r>
  <r>
    <x v="26"/>
    <n v="11.3"/>
    <n v="92.43"/>
    <x v="1"/>
  </r>
  <r>
    <x v="27"/>
    <n v="5.39"/>
    <n v="48.26"/>
    <x v="0"/>
  </r>
  <r>
    <x v="27"/>
    <n v="7.6"/>
    <n v="48.26"/>
    <x v="0"/>
  </r>
  <r>
    <x v="27"/>
    <n v="7.21"/>
    <n v="48.26"/>
    <x v="0"/>
  </r>
  <r>
    <x v="27"/>
    <n v="5.34"/>
    <n v="48.26"/>
    <x v="0"/>
  </r>
  <r>
    <x v="27"/>
    <n v="9.49"/>
    <n v="48.26"/>
    <x v="0"/>
  </r>
  <r>
    <x v="27"/>
    <n v="5.29"/>
    <n v="48.26"/>
    <x v="0"/>
  </r>
  <r>
    <x v="27"/>
    <n v="7.97"/>
    <n v="52.97"/>
    <x v="0"/>
  </r>
  <r>
    <x v="27"/>
    <n v="8.86"/>
    <n v="55.5"/>
    <x v="0"/>
  </r>
  <r>
    <x v="27"/>
    <n v="7.41"/>
    <n v="86.46"/>
    <x v="0"/>
  </r>
  <r>
    <x v="27"/>
    <n v="4.1399999999999997"/>
    <n v="22.54"/>
    <x v="1"/>
  </r>
  <r>
    <x v="27"/>
    <n v="9.8699999999999992"/>
    <n v="77.92"/>
    <x v="1"/>
  </r>
  <r>
    <x v="27"/>
    <n v="7.58"/>
    <n v="54.71"/>
    <x v="1"/>
  </r>
  <r>
    <x v="27"/>
    <n v="7.27"/>
    <n v="33.450000000000003"/>
    <x v="1"/>
  </r>
  <r>
    <x v="27"/>
    <n v="6.93"/>
    <n v="71.62"/>
    <x v="1"/>
  </r>
  <r>
    <x v="27"/>
    <n v="9.27"/>
    <n v="81.64"/>
    <x v="1"/>
  </r>
  <r>
    <x v="27"/>
    <n v="4.3899999999999997"/>
    <n v="35.26"/>
    <x v="1"/>
  </r>
  <r>
    <x v="27"/>
    <n v="12.3"/>
    <n v="103.88"/>
    <x v="1"/>
  </r>
  <r>
    <x v="28"/>
    <n v="5.47"/>
    <n v="48.26"/>
    <x v="0"/>
  </r>
  <r>
    <x v="28"/>
    <n v="9.02"/>
    <n v="48.26"/>
    <x v="0"/>
  </r>
  <r>
    <x v="28"/>
    <n v="6.59"/>
    <n v="48.26"/>
    <x v="0"/>
  </r>
  <r>
    <x v="28"/>
    <n v="5.96"/>
    <n v="55.1"/>
    <x v="0"/>
  </r>
  <r>
    <x v="28"/>
    <n v="7.38"/>
    <n v="26.08"/>
    <x v="0"/>
  </r>
  <r>
    <x v="28"/>
    <n v="6.91"/>
    <n v="76.37"/>
    <x v="1"/>
  </r>
  <r>
    <x v="28"/>
    <n v="6.27"/>
    <n v="59.31"/>
    <x v="1"/>
  </r>
  <r>
    <x v="28"/>
    <n v="8.2899999999999991"/>
    <n v="50.65"/>
    <x v="1"/>
  </r>
  <r>
    <x v="28"/>
    <n v="7.9"/>
    <n v="41.49"/>
    <x v="1"/>
  </r>
  <r>
    <x v="28"/>
    <n v="6.32"/>
    <n v="73.260000000000005"/>
    <x v="1"/>
  </r>
  <r>
    <x v="28"/>
    <n v="4.8499999999999996"/>
    <n v="59.93"/>
    <x v="1"/>
  </r>
  <r>
    <x v="28"/>
    <n v="4.1500000000000004"/>
    <n v="20.84"/>
    <x v="1"/>
  </r>
  <r>
    <x v="28"/>
    <n v="5.88"/>
    <n v="51.43"/>
    <x v="1"/>
  </r>
  <r>
    <x v="28"/>
    <n v="2.67"/>
    <n v="25.28"/>
    <x v="1"/>
  </r>
  <r>
    <x v="28"/>
    <n v="2.9"/>
    <n v="26.05"/>
    <x v="1"/>
  </r>
  <r>
    <x v="28"/>
    <n v="12.2"/>
    <n v="57.01"/>
    <x v="1"/>
  </r>
  <r>
    <x v="29"/>
    <n v="4.93"/>
    <n v="48.26"/>
    <x v="0"/>
  </r>
  <r>
    <x v="29"/>
    <n v="6.72"/>
    <n v="48.26"/>
    <x v="0"/>
  </r>
  <r>
    <x v="29"/>
    <n v="9.18"/>
    <n v="48.26"/>
    <x v="0"/>
  </r>
  <r>
    <x v="29"/>
    <n v="6.45"/>
    <n v="48.26"/>
    <x v="0"/>
  </r>
  <r>
    <x v="29"/>
    <n v="8.61"/>
    <n v="52.91"/>
    <x v="0"/>
  </r>
  <r>
    <x v="29"/>
    <n v="4.54"/>
    <n v="42.01"/>
    <x v="0"/>
  </r>
  <r>
    <x v="29"/>
    <n v="4.1500000000000004"/>
    <n v="60.58"/>
    <x v="0"/>
  </r>
  <r>
    <x v="29"/>
    <n v="9.2200000000000006"/>
    <n v="83.76"/>
    <x v="0"/>
  </r>
  <r>
    <x v="29"/>
    <n v="6.15"/>
    <n v="48.99"/>
    <x v="1"/>
  </r>
  <r>
    <x v="29"/>
    <n v="8.27"/>
    <n v="46.56"/>
    <x v="1"/>
  </r>
  <r>
    <x v="29"/>
    <n v="8.44"/>
    <n v="64.36"/>
    <x v="1"/>
  </r>
  <r>
    <x v="29"/>
    <n v="7.18"/>
    <n v="22.58"/>
    <x v="1"/>
  </r>
  <r>
    <x v="29"/>
    <n v="8.6"/>
    <n v="42.69"/>
    <x v="1"/>
  </r>
  <r>
    <x v="29"/>
    <n v="9.24"/>
    <n v="77.36"/>
    <x v="1"/>
  </r>
  <r>
    <x v="29"/>
    <n v="2"/>
    <n v="32.700000000000003"/>
    <x v="1"/>
  </r>
  <r>
    <x v="29"/>
    <n v="3.7"/>
    <n v="12.65"/>
    <x v="1"/>
  </r>
  <r>
    <x v="29"/>
    <n v="12.1"/>
    <n v="92.08"/>
    <x v="1"/>
  </r>
  <r>
    <x v="29"/>
    <n v="12.2"/>
    <n v="79.36"/>
    <x v="1"/>
  </r>
  <r>
    <x v="30"/>
    <n v="8.92"/>
    <n v="48.26"/>
    <x v="0"/>
  </r>
  <r>
    <x v="30"/>
    <n v="6.38"/>
    <n v="48.26"/>
    <x v="0"/>
  </r>
  <r>
    <x v="30"/>
    <n v="4.55"/>
    <n v="48.26"/>
    <x v="0"/>
  </r>
  <r>
    <x v="30"/>
    <n v="6.55"/>
    <n v="48.26"/>
    <x v="0"/>
  </r>
  <r>
    <x v="30"/>
    <n v="9.6"/>
    <n v="48.26"/>
    <x v="0"/>
  </r>
  <r>
    <x v="30"/>
    <n v="7.33"/>
    <n v="48.26"/>
    <x v="0"/>
  </r>
  <r>
    <x v="30"/>
    <n v="5.87"/>
    <n v="48.26"/>
    <x v="0"/>
  </r>
  <r>
    <x v="30"/>
    <n v="9.73"/>
    <n v="48.26"/>
    <x v="0"/>
  </r>
  <r>
    <x v="30"/>
    <n v="7.22"/>
    <n v="28.75"/>
    <x v="0"/>
  </r>
  <r>
    <x v="30"/>
    <n v="4.13"/>
    <n v="26.63"/>
    <x v="0"/>
  </r>
  <r>
    <x v="30"/>
    <n v="9.84"/>
    <n v="108.17"/>
    <x v="1"/>
  </r>
  <r>
    <x v="30"/>
    <n v="4.6500000000000004"/>
    <n v="30.74"/>
    <x v="0"/>
  </r>
  <r>
    <x v="30"/>
    <n v="4.83"/>
    <n v="39.82"/>
    <x v="1"/>
  </r>
  <r>
    <x v="30"/>
    <n v="8.94"/>
    <n v="49.92"/>
    <x v="1"/>
  </r>
  <r>
    <x v="30"/>
    <n v="6.34"/>
    <n v="56.08"/>
    <x v="1"/>
  </r>
  <r>
    <x v="30"/>
    <n v="7.46"/>
    <n v="52.4"/>
    <x v="1"/>
  </r>
  <r>
    <x v="30"/>
    <n v="7.3"/>
    <n v="63.35"/>
    <x v="1"/>
  </r>
  <r>
    <x v="30"/>
    <n v="9"/>
    <n v="60.12"/>
    <x v="1"/>
  </r>
  <r>
    <x v="30"/>
    <n v="11.6"/>
    <n v="95.39"/>
    <x v="1"/>
  </r>
  <r>
    <x v="31"/>
    <n v="9.74"/>
    <n v="89.32"/>
    <x v="1"/>
  </r>
  <r>
    <x v="31"/>
    <n v="8.8000000000000007"/>
    <n v="115.37"/>
    <x v="1"/>
  </r>
  <r>
    <x v="31"/>
    <n v="6.31"/>
    <n v="21.73"/>
    <x v="1"/>
  </r>
  <r>
    <x v="31"/>
    <n v="8.68"/>
    <n v="89.26"/>
    <x v="1"/>
  </r>
  <r>
    <x v="31"/>
    <n v="8"/>
    <n v="62.46"/>
    <x v="1"/>
  </r>
  <r>
    <x v="31"/>
    <n v="7.38"/>
    <n v="75.75"/>
    <x v="1"/>
  </r>
  <r>
    <x v="31"/>
    <n v="7.19"/>
    <n v="48.4"/>
    <x v="1"/>
  </r>
  <r>
    <x v="31"/>
    <n v="7.48"/>
    <n v="49.8"/>
    <x v="1"/>
  </r>
  <r>
    <x v="31"/>
    <n v="4.3099999999999996"/>
    <n v="33.97"/>
    <x v="1"/>
  </r>
  <r>
    <x v="31"/>
    <n v="6.24"/>
    <n v="54.93"/>
    <x v="1"/>
  </r>
  <r>
    <x v="31"/>
    <n v="7.3"/>
    <n v="101.92"/>
    <x v="1"/>
  </r>
  <r>
    <x v="32"/>
    <n v="6.99"/>
    <n v="48.26"/>
    <x v="0"/>
  </r>
  <r>
    <x v="32"/>
    <n v="8.4700000000000006"/>
    <n v="69.06"/>
    <x v="0"/>
  </r>
  <r>
    <x v="32"/>
    <n v="9.19"/>
    <n v="72.56"/>
    <x v="0"/>
  </r>
  <r>
    <x v="32"/>
    <n v="7.6"/>
    <n v="50.29"/>
    <x v="0"/>
  </r>
  <r>
    <x v="32"/>
    <n v="8.6199999999999992"/>
    <n v="71.040000000000006"/>
    <x v="1"/>
  </r>
  <r>
    <x v="32"/>
    <n v="5.91"/>
    <n v="54.85"/>
    <x v="1"/>
  </r>
  <r>
    <x v="32"/>
    <n v="11.9"/>
    <n v="114.96"/>
    <x v="1"/>
  </r>
  <r>
    <x v="32"/>
    <n v="11"/>
    <n v="63.32"/>
    <x v="1"/>
  </r>
  <r>
    <x v="33"/>
    <n v="6.82"/>
    <n v="48.26"/>
    <x v="0"/>
  </r>
  <r>
    <x v="33"/>
    <n v="8.64"/>
    <n v="48.26"/>
    <x v="0"/>
  </r>
  <r>
    <x v="33"/>
    <n v="5.38"/>
    <n v="48.26"/>
    <x v="0"/>
  </r>
  <r>
    <x v="33"/>
    <n v="9.94"/>
    <n v="48.26"/>
    <x v="0"/>
  </r>
  <r>
    <x v="33"/>
    <n v="4.93"/>
    <n v="65.16"/>
    <x v="0"/>
  </r>
  <r>
    <x v="33"/>
    <n v="6.12"/>
    <n v="49.54"/>
    <x v="0"/>
  </r>
  <r>
    <x v="33"/>
    <n v="5.15"/>
    <n v="51.35"/>
    <x v="0"/>
  </r>
  <r>
    <x v="33"/>
    <n v="4.03"/>
    <n v="44.21"/>
    <x v="0"/>
  </r>
  <r>
    <x v="33"/>
    <n v="5.59"/>
    <n v="58.41"/>
    <x v="1"/>
  </r>
  <r>
    <x v="33"/>
    <n v="6.25"/>
    <n v="35.03"/>
    <x v="1"/>
  </r>
  <r>
    <x v="33"/>
    <n v="8.41"/>
    <n v="8.69"/>
    <x v="1"/>
  </r>
  <r>
    <x v="33"/>
    <n v="9.99"/>
    <n v="92.22"/>
    <x v="1"/>
  </r>
  <r>
    <x v="33"/>
    <n v="8.89"/>
    <n v="85.79"/>
    <x v="1"/>
  </r>
  <r>
    <x v="33"/>
    <n v="2"/>
    <n v="19.010000000000002"/>
    <x v="1"/>
  </r>
  <r>
    <x v="34"/>
    <n v="9.07"/>
    <n v="48.26"/>
    <x v="0"/>
  </r>
  <r>
    <x v="34"/>
    <n v="4.88"/>
    <n v="48.26"/>
    <x v="0"/>
  </r>
  <r>
    <x v="34"/>
    <n v="7.37"/>
    <n v="48.26"/>
    <x v="0"/>
  </r>
  <r>
    <x v="34"/>
    <n v="8.3800000000000008"/>
    <n v="100.78"/>
    <x v="0"/>
  </r>
  <r>
    <x v="34"/>
    <n v="4.68"/>
    <n v="49.81"/>
    <x v="0"/>
  </r>
  <r>
    <x v="34"/>
    <n v="6.63"/>
    <n v="79.290000000000006"/>
    <x v="0"/>
  </r>
  <r>
    <x v="34"/>
    <n v="7.69"/>
    <n v="81.08"/>
    <x v="0"/>
  </r>
  <r>
    <x v="34"/>
    <n v="8.08"/>
    <n v="53.62"/>
    <x v="1"/>
  </r>
  <r>
    <x v="34"/>
    <n v="6.33"/>
    <n v="47.69"/>
    <x v="1"/>
  </r>
  <r>
    <x v="34"/>
    <n v="9.33"/>
    <n v="84.48"/>
    <x v="1"/>
  </r>
  <r>
    <x v="34"/>
    <n v="5.05"/>
    <n v="74.09"/>
    <x v="1"/>
  </r>
  <r>
    <x v="34"/>
    <n v="5.58"/>
    <n v="74.44"/>
    <x v="1"/>
  </r>
  <r>
    <x v="34"/>
    <n v="9.56"/>
    <n v="67.12"/>
    <x v="1"/>
  </r>
  <r>
    <x v="34"/>
    <n v="8.74"/>
    <n v="72.92"/>
    <x v="1"/>
  </r>
  <r>
    <x v="34"/>
    <n v="7.46"/>
    <n v="55.88"/>
    <x v="1"/>
  </r>
  <r>
    <x v="34"/>
    <n v="12.4"/>
    <n v="109.42"/>
    <x v="1"/>
  </r>
  <r>
    <x v="35"/>
    <n v="5.2"/>
    <n v="48.26"/>
    <x v="0"/>
  </r>
  <r>
    <x v="35"/>
    <n v="4.24"/>
    <n v="48.26"/>
    <x v="0"/>
  </r>
  <r>
    <x v="35"/>
    <n v="6.97"/>
    <n v="48.26"/>
    <x v="0"/>
  </r>
  <r>
    <x v="35"/>
    <n v="5.77"/>
    <n v="48.26"/>
    <x v="0"/>
  </r>
  <r>
    <x v="35"/>
    <n v="9.0299999999999994"/>
    <n v="48.26"/>
    <x v="0"/>
  </r>
  <r>
    <x v="35"/>
    <n v="8.49"/>
    <n v="48.26"/>
    <x v="0"/>
  </r>
  <r>
    <x v="35"/>
    <n v="9.35"/>
    <n v="96.31"/>
    <x v="0"/>
  </r>
  <r>
    <x v="35"/>
    <n v="9.99"/>
    <n v="78.39"/>
    <x v="0"/>
  </r>
  <r>
    <x v="35"/>
    <n v="8.11"/>
    <n v="81.53"/>
    <x v="1"/>
  </r>
  <r>
    <x v="35"/>
    <n v="6.71"/>
    <n v="40.14"/>
    <x v="1"/>
  </r>
  <r>
    <x v="35"/>
    <n v="6.94"/>
    <n v="85.29"/>
    <x v="1"/>
  </r>
  <r>
    <x v="35"/>
    <n v="5.98"/>
    <n v="56.8"/>
    <x v="1"/>
  </r>
  <r>
    <x v="35"/>
    <n v="8.8800000000000008"/>
    <n v="73.25"/>
    <x v="1"/>
  </r>
  <r>
    <x v="35"/>
    <n v="7.25"/>
    <n v="42.01"/>
    <x v="1"/>
  </r>
  <r>
    <x v="35"/>
    <n v="7.25"/>
    <n v="91.39"/>
    <x v="1"/>
  </r>
  <r>
    <x v="35"/>
    <n v="5.86"/>
    <n v="50.94"/>
    <x v="1"/>
  </r>
  <r>
    <x v="35"/>
    <n v="1.9"/>
    <n v="28.32"/>
    <x v="1"/>
  </r>
  <r>
    <x v="35"/>
    <n v="11.3"/>
    <n v="87.75"/>
    <x v="1"/>
  </r>
  <r>
    <x v="35"/>
    <n v="12.8"/>
    <n v="91.79"/>
    <x v="1"/>
  </r>
  <r>
    <x v="36"/>
    <n v="8.8000000000000007"/>
    <n v="48.26"/>
    <x v="0"/>
  </r>
  <r>
    <x v="36"/>
    <n v="8.6"/>
    <n v="43.95"/>
    <x v="0"/>
  </r>
  <r>
    <x v="36"/>
    <n v="8.65"/>
    <n v="91.16"/>
    <x v="1"/>
  </r>
  <r>
    <x v="36"/>
    <n v="5.15"/>
    <n v="36.72"/>
    <x v="1"/>
  </r>
  <r>
    <x v="36"/>
    <n v="9.44"/>
    <n v="61.2"/>
    <x v="1"/>
  </r>
  <r>
    <x v="36"/>
    <n v="6.64"/>
    <n v="66.959999999999994"/>
    <x v="1"/>
  </r>
  <r>
    <x v="36"/>
    <n v="2.2999999999999998"/>
    <n v="39.54"/>
    <x v="1"/>
  </r>
  <r>
    <x v="36"/>
    <n v="3.3"/>
    <n v="43.28"/>
    <x v="1"/>
  </r>
  <r>
    <x v="37"/>
    <n v="6.82"/>
    <n v="48.26"/>
    <x v="0"/>
  </r>
  <r>
    <x v="37"/>
    <n v="4.57"/>
    <n v="48.26"/>
    <x v="0"/>
  </r>
  <r>
    <x v="37"/>
    <n v="7.34"/>
    <n v="48.26"/>
    <x v="0"/>
  </r>
  <r>
    <x v="37"/>
    <n v="4.28"/>
    <n v="48.26"/>
    <x v="0"/>
  </r>
  <r>
    <x v="37"/>
    <n v="8.2200000000000006"/>
    <n v="80.31"/>
    <x v="0"/>
  </r>
  <r>
    <x v="37"/>
    <n v="8.39"/>
    <n v="27.64"/>
    <x v="0"/>
  </r>
  <r>
    <x v="37"/>
    <n v="8.75"/>
    <n v="88.53"/>
    <x v="0"/>
  </r>
  <r>
    <x v="37"/>
    <n v="7.21"/>
    <n v="86.23"/>
    <x v="0"/>
  </r>
  <r>
    <x v="37"/>
    <n v="5.5"/>
    <n v="42.01"/>
    <x v="0"/>
  </r>
  <r>
    <x v="37"/>
    <n v="8.56"/>
    <n v="103.65"/>
    <x v="1"/>
  </r>
  <r>
    <x v="37"/>
    <n v="4.75"/>
    <n v="51"/>
    <x v="0"/>
  </r>
  <r>
    <x v="37"/>
    <n v="7.31"/>
    <n v="51.36"/>
    <x v="1"/>
  </r>
  <r>
    <x v="37"/>
    <n v="9.24"/>
    <n v="91.7"/>
    <x v="1"/>
  </r>
  <r>
    <x v="37"/>
    <n v="9.8800000000000008"/>
    <n v="51.89"/>
    <x v="1"/>
  </r>
  <r>
    <x v="37"/>
    <n v="7.81"/>
    <n v="44.39"/>
    <x v="1"/>
  </r>
  <r>
    <x v="37"/>
    <n v="6.02"/>
    <n v="45.03"/>
    <x v="1"/>
  </r>
  <r>
    <x v="37"/>
    <n v="4.92"/>
    <n v="38.86"/>
    <x v="1"/>
  </r>
  <r>
    <x v="37"/>
    <n v="6.92"/>
    <n v="50.8"/>
    <x v="1"/>
  </r>
  <r>
    <x v="37"/>
    <n v="3.6"/>
    <n v="48.57"/>
    <x v="1"/>
  </r>
  <r>
    <x v="38"/>
    <n v="5.47"/>
    <n v="48.26"/>
    <x v="0"/>
  </r>
  <r>
    <x v="38"/>
    <n v="8.93"/>
    <n v="48.26"/>
    <x v="0"/>
  </r>
  <r>
    <x v="38"/>
    <n v="8.02"/>
    <n v="62.53"/>
    <x v="0"/>
  </r>
  <r>
    <x v="38"/>
    <n v="5.38"/>
    <n v="46.56"/>
    <x v="0"/>
  </r>
  <r>
    <x v="38"/>
    <n v="7.98"/>
    <n v="55.94"/>
    <x v="1"/>
  </r>
  <r>
    <x v="38"/>
    <n v="7.07"/>
    <n v="48.18"/>
    <x v="1"/>
  </r>
  <r>
    <x v="38"/>
    <n v="3"/>
    <n v="58.89"/>
    <x v="1"/>
  </r>
  <r>
    <x v="38"/>
    <n v="2.1"/>
    <n v="43.17"/>
    <x v="1"/>
  </r>
  <r>
    <x v="38"/>
    <n v="12.5"/>
    <n v="105.61"/>
    <x v="1"/>
  </r>
  <r>
    <x v="39"/>
    <n v="6.96"/>
    <n v="48.26"/>
    <x v="0"/>
  </r>
  <r>
    <x v="39"/>
    <n v="4.4400000000000004"/>
    <n v="24.63"/>
    <x v="0"/>
  </r>
  <r>
    <x v="39"/>
    <n v="9.27"/>
    <n v="55.3"/>
    <x v="1"/>
  </r>
  <r>
    <x v="39"/>
    <n v="5.5"/>
    <n v="70.36"/>
    <x v="1"/>
  </r>
  <r>
    <x v="39"/>
    <n v="9.2100000000000009"/>
    <n v="67.63"/>
    <x v="1"/>
  </r>
  <r>
    <x v="39"/>
    <n v="8.6999999999999993"/>
    <n v="66.56"/>
    <x v="1"/>
  </r>
  <r>
    <x v="39"/>
    <n v="10.6"/>
    <n v="80"/>
    <x v="1"/>
  </r>
  <r>
    <x v="39"/>
    <n v="12.1"/>
    <n v="94.07"/>
    <x v="1"/>
  </r>
  <r>
    <x v="40"/>
    <n v="9.23"/>
    <n v="48.26"/>
    <x v="0"/>
  </r>
  <r>
    <x v="40"/>
    <n v="5.14"/>
    <n v="48.26"/>
    <x v="0"/>
  </r>
  <r>
    <x v="40"/>
    <n v="8.68"/>
    <n v="67.36"/>
    <x v="0"/>
  </r>
  <r>
    <x v="40"/>
    <n v="7.05"/>
    <n v="48.83"/>
    <x v="0"/>
  </r>
  <r>
    <x v="40"/>
    <n v="5.74"/>
    <n v="77.319999999999993"/>
    <x v="1"/>
  </r>
  <r>
    <x v="40"/>
    <n v="4.6399999999999997"/>
    <n v="38.450000000000003"/>
    <x v="1"/>
  </r>
  <r>
    <x v="40"/>
    <n v="8.19"/>
    <n v="70.88"/>
    <x v="1"/>
  </r>
  <r>
    <x v="40"/>
    <n v="11.7"/>
    <n v="93.63"/>
    <x v="1"/>
  </r>
  <r>
    <x v="40"/>
    <n v="12.5"/>
    <n v="99.72"/>
    <x v="1"/>
  </r>
  <r>
    <x v="40"/>
    <n v="11.1"/>
    <n v="67.2"/>
    <x v="1"/>
  </r>
  <r>
    <x v="40"/>
    <n v="12.5"/>
    <n v="100.55"/>
    <x v="1"/>
  </r>
  <r>
    <x v="41"/>
    <n v="7.52"/>
    <n v="48.26"/>
    <x v="0"/>
  </r>
  <r>
    <x v="41"/>
    <n v="7.68"/>
    <n v="70.06"/>
    <x v="0"/>
  </r>
  <r>
    <x v="41"/>
    <n v="7.06"/>
    <n v="86.68"/>
    <x v="0"/>
  </r>
  <r>
    <x v="41"/>
    <n v="7.33"/>
    <n v="84.13"/>
    <x v="1"/>
  </r>
  <r>
    <x v="41"/>
    <n v="6.71"/>
    <n v="70.739999999999995"/>
    <x v="1"/>
  </r>
  <r>
    <x v="41"/>
    <n v="7.67"/>
    <n v="58.01"/>
    <x v="1"/>
  </r>
  <r>
    <x v="41"/>
    <n v="6.73"/>
    <n v="67.739999999999995"/>
    <x v="1"/>
  </r>
  <r>
    <x v="41"/>
    <n v="5.61"/>
    <n v="47.22"/>
    <x v="1"/>
  </r>
  <r>
    <x v="41"/>
    <n v="8.68"/>
    <n v="42.13"/>
    <x v="1"/>
  </r>
  <r>
    <x v="41"/>
    <n v="3.3"/>
    <n v="41.24"/>
    <x v="1"/>
  </r>
  <r>
    <x v="42"/>
    <n v="5.03"/>
    <n v="48.26"/>
    <x v="0"/>
  </r>
  <r>
    <x v="42"/>
    <n v="5.56"/>
    <n v="48.26"/>
    <x v="0"/>
  </r>
  <r>
    <x v="42"/>
    <n v="9.27"/>
    <n v="63.57"/>
    <x v="0"/>
  </r>
  <r>
    <x v="42"/>
    <n v="4.68"/>
    <n v="50.07"/>
    <x v="0"/>
  </r>
  <r>
    <x v="42"/>
    <n v="9.01"/>
    <n v="61.06"/>
    <x v="0"/>
  </r>
  <r>
    <x v="42"/>
    <n v="7"/>
    <n v="38.090000000000003"/>
    <x v="1"/>
  </r>
  <r>
    <x v="42"/>
    <n v="8.85"/>
    <n v="66.16"/>
    <x v="1"/>
  </r>
  <r>
    <x v="42"/>
    <n v="9.18"/>
    <n v="65.19"/>
    <x v="1"/>
  </r>
  <r>
    <x v="42"/>
    <n v="6.23"/>
    <n v="42.26"/>
    <x v="1"/>
  </r>
  <r>
    <x v="42"/>
    <n v="4"/>
    <n v="18.28"/>
    <x v="1"/>
  </r>
  <r>
    <x v="43"/>
    <n v="9.9600000000000009"/>
    <n v="78.3"/>
    <x v="0"/>
  </r>
  <r>
    <x v="43"/>
    <n v="6.44"/>
    <n v="95.27"/>
    <x v="0"/>
  </r>
  <r>
    <x v="43"/>
    <n v="8.7899999999999991"/>
    <n v="91.53"/>
    <x v="1"/>
  </r>
  <r>
    <x v="43"/>
    <n v="5.67"/>
    <n v="77.45"/>
    <x v="1"/>
  </r>
  <r>
    <x v="43"/>
    <n v="3.3"/>
    <n v="35.11"/>
    <x v="1"/>
  </r>
  <r>
    <x v="43"/>
    <n v="10.3"/>
    <n v="89.49"/>
    <x v="1"/>
  </r>
  <r>
    <x v="44"/>
    <n v="8.7100000000000009"/>
    <n v="48.26"/>
    <x v="0"/>
  </r>
  <r>
    <x v="44"/>
    <n v="4.59"/>
    <n v="48.26"/>
    <x v="0"/>
  </r>
  <r>
    <x v="44"/>
    <n v="6.06"/>
    <n v="54.51"/>
    <x v="1"/>
  </r>
  <r>
    <x v="44"/>
    <n v="11.8"/>
    <n v="78.2"/>
    <x v="1"/>
  </r>
  <r>
    <x v="45"/>
    <n v="9.93"/>
    <n v="48.26"/>
    <x v="0"/>
  </r>
  <r>
    <x v="45"/>
    <n v="7.22"/>
    <n v="61.92"/>
    <x v="0"/>
  </r>
  <r>
    <x v="45"/>
    <n v="5.45"/>
    <n v="53"/>
    <x v="1"/>
  </r>
  <r>
    <x v="45"/>
    <n v="8.14"/>
    <n v="74.739999999999995"/>
    <x v="1"/>
  </r>
  <r>
    <x v="45"/>
    <n v="9.6199999999999992"/>
    <n v="92.89"/>
    <x v="1"/>
  </r>
  <r>
    <x v="45"/>
    <n v="9.4700000000000006"/>
    <n v="75.08"/>
    <x v="1"/>
  </r>
  <r>
    <x v="45"/>
    <n v="12.2"/>
    <n v="90.89"/>
    <x v="1"/>
  </r>
  <r>
    <x v="46"/>
    <n v="9.2100000000000009"/>
    <n v="62.31"/>
    <x v="0"/>
  </r>
  <r>
    <x v="46"/>
    <n v="7.59"/>
    <n v="83.57"/>
    <x v="0"/>
  </r>
  <r>
    <x v="46"/>
    <n v="5.23"/>
    <n v="40.19"/>
    <x v="0"/>
  </r>
  <r>
    <x v="46"/>
    <n v="6.36"/>
    <n v="67.44"/>
    <x v="0"/>
  </r>
  <r>
    <x v="46"/>
    <n v="5.03"/>
    <n v="31.21"/>
    <x v="0"/>
  </r>
  <r>
    <x v="46"/>
    <n v="4.5"/>
    <n v="64.67"/>
    <x v="1"/>
  </r>
  <r>
    <x v="46"/>
    <n v="3.6"/>
    <n v="30.33"/>
    <x v="1"/>
  </r>
  <r>
    <x v="47"/>
    <n v="9.58"/>
    <n v="48.26"/>
    <x v="0"/>
  </r>
  <r>
    <x v="47"/>
    <n v="6.09"/>
    <n v="65.209999999999994"/>
    <x v="0"/>
  </r>
  <r>
    <x v="47"/>
    <n v="4"/>
    <n v="30.62"/>
    <x v="1"/>
  </r>
  <r>
    <x v="47"/>
    <n v="5.53"/>
    <n v="61.26"/>
    <x v="1"/>
  </r>
  <r>
    <x v="47"/>
    <n v="6.78"/>
    <n v="73.25"/>
    <x v="1"/>
  </r>
  <r>
    <x v="47"/>
    <n v="5.86"/>
    <n v="77.989999999999995"/>
    <x v="1"/>
  </r>
  <r>
    <x v="47"/>
    <n v="6.23"/>
    <n v="36.51"/>
    <x v="1"/>
  </r>
  <r>
    <x v="47"/>
    <n v="4.6900000000000004"/>
    <n v="61.81"/>
    <x v="1"/>
  </r>
  <r>
    <x v="47"/>
    <n v="5.93"/>
    <n v="10.96"/>
    <x v="1"/>
  </r>
  <r>
    <x v="48"/>
    <n v="6.76"/>
    <n v="48.26"/>
    <x v="0"/>
  </r>
  <r>
    <x v="48"/>
    <n v="6.69"/>
    <n v="66.430000000000007"/>
    <x v="1"/>
  </r>
  <r>
    <x v="48"/>
    <n v="5.61"/>
    <n v="71.069999999999993"/>
    <x v="1"/>
  </r>
  <r>
    <x v="48"/>
    <n v="7.37"/>
    <n v="47.75"/>
    <x v="1"/>
  </r>
  <r>
    <x v="48"/>
    <n v="4"/>
    <n v="21.99"/>
    <x v="1"/>
  </r>
  <r>
    <x v="49"/>
    <n v="5.58"/>
    <n v="24.34"/>
    <x v="1"/>
  </r>
  <r>
    <x v="49"/>
    <n v="6.18"/>
    <n v="31.57"/>
    <x v="1"/>
  </r>
  <r>
    <x v="49"/>
    <n v="8.42"/>
    <n v="88.33"/>
    <x v="1"/>
  </r>
  <r>
    <x v="49"/>
    <n v="5.21"/>
    <n v="92.88"/>
    <x v="1"/>
  </r>
  <r>
    <x v="49"/>
    <n v="1.7"/>
    <n v="17.32"/>
    <x v="1"/>
  </r>
  <r>
    <x v="50"/>
    <n v="6.86"/>
    <n v="74.760000000000005"/>
    <x v="0"/>
  </r>
  <r>
    <x v="50"/>
    <n v="5.25"/>
    <n v="44.82"/>
    <x v="0"/>
  </r>
  <r>
    <x v="50"/>
    <n v="8.34"/>
    <n v="70.430000000000007"/>
    <x v="1"/>
  </r>
  <r>
    <x v="50"/>
    <n v="7.45"/>
    <n v="62.85"/>
    <x v="1"/>
  </r>
  <r>
    <x v="50"/>
    <n v="7.45"/>
    <n v="35.75"/>
    <x v="1"/>
  </r>
  <r>
    <x v="50"/>
    <n v="4.96"/>
    <n v="35.53"/>
    <x v="1"/>
  </r>
  <r>
    <x v="50"/>
    <n v="6.46"/>
    <n v="69.069999999999993"/>
    <x v="1"/>
  </r>
  <r>
    <x v="50"/>
    <n v="11.5"/>
    <n v="118.49"/>
    <x v="1"/>
  </r>
  <r>
    <x v="51"/>
    <n v="6.17"/>
    <n v="48.26"/>
    <x v="0"/>
  </r>
  <r>
    <x v="51"/>
    <n v="4.1399999999999997"/>
    <n v="36.58"/>
    <x v="1"/>
  </r>
  <r>
    <x v="51"/>
    <n v="5.58"/>
    <n v="50.66"/>
    <x v="1"/>
  </r>
  <r>
    <x v="51"/>
    <n v="4.03"/>
    <n v="25.68"/>
    <x v="1"/>
  </r>
  <r>
    <x v="52"/>
    <n v="8.7200000000000006"/>
    <n v="48.26"/>
    <x v="0"/>
  </r>
  <r>
    <x v="52"/>
    <n v="8.0500000000000007"/>
    <n v="99.96"/>
    <x v="1"/>
  </r>
  <r>
    <x v="53"/>
    <n v="4.32"/>
    <n v="48.26"/>
    <x v="0"/>
  </r>
  <r>
    <x v="53"/>
    <n v="7.58"/>
    <n v="44.09"/>
    <x v="0"/>
  </r>
  <r>
    <x v="53"/>
    <n v="9.6199999999999992"/>
    <n v="67.069999999999993"/>
    <x v="1"/>
  </r>
  <r>
    <x v="54"/>
    <n v="8.69"/>
    <n v="72.78"/>
    <x v="1"/>
  </r>
  <r>
    <x v="55"/>
    <n v="6.51"/>
    <n v="67.02"/>
    <x v="1"/>
  </r>
  <r>
    <x v="56"/>
    <n v="5.85"/>
    <n v="28.16"/>
    <x v="1"/>
  </r>
  <r>
    <x v="56"/>
    <n v="5.96"/>
    <n v="84.26"/>
    <x v="1"/>
  </r>
  <r>
    <x v="56"/>
    <n v="2.7"/>
    <n v="16.579999999999998"/>
    <x v="1"/>
  </r>
  <r>
    <x v="56"/>
    <n v="13"/>
    <n v="67.31"/>
    <x v="1"/>
  </r>
  <r>
    <x v="57"/>
    <n v="5.36"/>
    <n v="48.26"/>
    <x v="0"/>
  </r>
  <r>
    <x v="58"/>
    <n v="8.5399999999999991"/>
    <n v="42.33"/>
    <x v="0"/>
  </r>
  <r>
    <x v="59"/>
    <n v="4.6900000000000004"/>
    <n v="46.24"/>
    <x v="0"/>
  </r>
  <r>
    <x v="60"/>
    <n v="9.91"/>
    <n v="48.26"/>
    <x v="0"/>
  </r>
  <r>
    <x v="61"/>
    <n v="8.5500000000000007"/>
    <n v="39.17"/>
    <x v="0"/>
  </r>
  <r>
    <x v="62"/>
    <n v="8.08"/>
    <n v="89.18"/>
    <x v="1"/>
  </r>
  <r>
    <x v="63"/>
    <n v="4.17"/>
    <n v="48.26"/>
    <x v="0"/>
  </r>
  <r>
    <x v="63"/>
    <n v="5.34"/>
    <n v="70.22"/>
    <x v="0"/>
  </r>
  <r>
    <x v="64"/>
    <n v="4.37"/>
    <n v="23.31"/>
    <x v="1"/>
  </r>
  <r>
    <x v="65"/>
    <n v="6.65"/>
    <n v="55.63"/>
    <x v="1"/>
  </r>
  <r>
    <x v="66"/>
    <s v="Temps d'achat"/>
    <s v="Montant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OP 10" cacheId="4" applyNumberFormats="0" applyBorderFormats="0" applyFontFormats="0" applyPatternFormats="0" applyAlignmentFormats="0" applyWidthHeightFormats="0" dataCaption="" updatedVersion="8" compact="0" compactData="0">
  <location ref="A1:E70" firstHeaderRow="1" firstDataRow="2" firstDataCol="1"/>
  <pivotFields count="4">
    <pivotField name="client affilié" axis="axisRow" compact="0" outline="0" multipleItemSelectionAllowed="1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temps d'achat" compact="0" outline="0" multipleItemSelectionAllowed="1" showAll="0"/>
    <pivotField compact="0" outline="0" showAll="0" includeNewItemsInFilter="1"/>
    <pivotField name="catégorie d'achat" axis="axisCol" dataField="1" compact="0" outline="0" multipleItemSelectionAllowed="1" showAll="0" sortType="ascending">
      <items count="4">
        <item x="2"/>
        <item x="0"/>
        <item x="1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A of catégorie d'achat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000">
  <tableColumns count="4">
    <tableColumn id="1" xr3:uid="{00000000-0010-0000-0000-000001000000}" name="client affilié"/>
    <tableColumn id="2" xr3:uid="{00000000-0010-0000-0000-000002000000}" name="temps d'achat"/>
    <tableColumn id="3" xr3:uid="{00000000-0010-0000-0000-000003000000}" name="montant d'achat"/>
    <tableColumn id="4" xr3:uid="{00000000-0010-0000-0000-000004000000}" name="catégorie d'acha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9"/>
  <sheetViews>
    <sheetView showGridLines="0" tabSelected="1" topLeftCell="A20" workbookViewId="0">
      <selection activeCell="I21" sqref="I21"/>
    </sheetView>
  </sheetViews>
  <sheetFormatPr baseColWidth="10" defaultColWidth="14.42578125" defaultRowHeight="15" customHeight="1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4.5703125" customWidth="1"/>
    <col min="10" max="10" width="16.7109375" customWidth="1"/>
    <col min="11" max="13" width="10.7109375" customWidth="1"/>
    <col min="14" max="14" width="13.5703125" customWidth="1"/>
    <col min="15" max="15" width="17.5703125" customWidth="1"/>
    <col min="16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spans="1:26" ht="33.75">
      <c r="A2" s="1"/>
      <c r="B2" s="69" t="s">
        <v>0</v>
      </c>
      <c r="C2" s="67"/>
      <c r="D2" s="67"/>
      <c r="E2" s="67"/>
      <c r="F2" s="67"/>
      <c r="G2" s="67"/>
      <c r="H2" s="67"/>
      <c r="I2" s="67"/>
      <c r="J2" s="68"/>
      <c r="K2" s="3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6"/>
      <c r="O3" s="6"/>
      <c r="P3" s="4"/>
      <c r="Q3" s="4"/>
      <c r="R3" s="5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1"/>
      <c r="C4" s="2"/>
      <c r="D4" s="2"/>
      <c r="E4" s="2"/>
      <c r="F4" s="2"/>
      <c r="G4" s="2"/>
      <c r="H4" s="2"/>
      <c r="I4" s="2"/>
      <c r="J4" s="1"/>
      <c r="K4" s="3"/>
      <c r="L4" s="4"/>
      <c r="M4" s="4"/>
      <c r="N4" s="6"/>
      <c r="O4" s="6"/>
      <c r="P4" s="4"/>
      <c r="Q4" s="4"/>
      <c r="R4" s="5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3"/>
      <c r="C5" s="70" t="s">
        <v>1</v>
      </c>
      <c r="D5" s="72" t="s">
        <v>2</v>
      </c>
      <c r="E5" s="72" t="s">
        <v>3</v>
      </c>
      <c r="F5" s="72" t="s">
        <v>4</v>
      </c>
      <c r="G5" s="72" t="s">
        <v>5</v>
      </c>
      <c r="H5" s="74" t="s">
        <v>6</v>
      </c>
      <c r="I5" s="64" t="s">
        <v>7</v>
      </c>
      <c r="K5" s="3"/>
      <c r="L5" s="4"/>
      <c r="M5" s="4"/>
      <c r="N5" s="6"/>
      <c r="O5" s="6"/>
      <c r="P5" s="4"/>
      <c r="Q5" s="4"/>
      <c r="R5" s="5"/>
      <c r="S5" s="1"/>
      <c r="T5" s="1"/>
      <c r="U5" s="1"/>
      <c r="V5" s="1"/>
      <c r="W5" s="1"/>
      <c r="X5" s="1"/>
      <c r="Y5" s="1"/>
      <c r="Z5" s="1"/>
    </row>
    <row r="6" spans="1:26" ht="15.75">
      <c r="A6" s="1"/>
      <c r="B6" s="7"/>
      <c r="C6" s="71"/>
      <c r="D6" s="73"/>
      <c r="E6" s="73"/>
      <c r="F6" s="73"/>
      <c r="G6" s="73"/>
      <c r="H6" s="75"/>
      <c r="I6" s="65"/>
      <c r="K6" s="3"/>
      <c r="L6" s="4"/>
      <c r="M6" s="4"/>
      <c r="N6" s="8"/>
      <c r="O6" s="8"/>
      <c r="P6" s="4"/>
      <c r="Q6" s="4"/>
      <c r="R6" s="5"/>
      <c r="S6" s="1"/>
      <c r="T6" s="1"/>
      <c r="U6" s="1"/>
      <c r="V6" s="1"/>
      <c r="W6" s="1"/>
      <c r="X6" s="1"/>
      <c r="Y6" s="1"/>
      <c r="Z6" s="1"/>
    </row>
    <row r="7" spans="1:26" ht="15.75">
      <c r="A7" s="3"/>
      <c r="B7" s="9" t="s">
        <v>8</v>
      </c>
      <c r="C7" s="10">
        <v>10543</v>
      </c>
      <c r="D7" s="11">
        <v>11458</v>
      </c>
      <c r="E7" s="11">
        <v>13520</v>
      </c>
      <c r="F7" s="11">
        <v>14023</v>
      </c>
      <c r="G7" s="11">
        <v>14983</v>
      </c>
      <c r="H7" s="12">
        <f>SUMIFS(DATA!C2:C660,DATA!D2:D660,"bien de conso*")</f>
        <v>13391.050000000019</v>
      </c>
      <c r="I7" s="13">
        <f t="shared" ref="I7:I10" si="0">SUM(C7:H7)</f>
        <v>77918.050000000017</v>
      </c>
      <c r="K7" s="14"/>
      <c r="L7" s="4"/>
      <c r="M7" s="4"/>
      <c r="N7" s="8"/>
      <c r="O7" s="8"/>
      <c r="P7" s="4"/>
      <c r="Q7" s="4"/>
      <c r="R7" s="5"/>
      <c r="S7" s="1"/>
      <c r="T7" s="1"/>
      <c r="U7" s="1"/>
      <c r="V7" s="1"/>
      <c r="W7" s="1"/>
      <c r="X7" s="1"/>
      <c r="Y7" s="1"/>
      <c r="Z7" s="1"/>
    </row>
    <row r="8" spans="1:26" ht="15.75">
      <c r="A8" s="3"/>
      <c r="B8" s="15" t="s">
        <v>9</v>
      </c>
      <c r="C8" s="16">
        <v>13855</v>
      </c>
      <c r="D8" s="17">
        <v>16052</v>
      </c>
      <c r="E8" s="17">
        <v>16797</v>
      </c>
      <c r="F8" s="17">
        <v>17582</v>
      </c>
      <c r="G8" s="17">
        <v>18216</v>
      </c>
      <c r="H8" s="18">
        <f>SUMIFS(DATA!C2:C660,DATA!D2:D660,"nourriture")</f>
        <v>24898.819999999996</v>
      </c>
      <c r="I8" s="19">
        <f t="shared" si="0"/>
        <v>107400.81999999999</v>
      </c>
      <c r="K8" s="14"/>
      <c r="L8" s="4"/>
      <c r="M8" s="4"/>
      <c r="N8" s="8"/>
      <c r="O8" s="8"/>
      <c r="P8" s="4"/>
      <c r="Q8" s="4"/>
      <c r="R8" s="5"/>
      <c r="S8" s="1"/>
      <c r="T8" s="1"/>
      <c r="U8" s="1"/>
      <c r="V8" s="1"/>
      <c r="W8" s="1"/>
      <c r="X8" s="1"/>
      <c r="Y8" s="1"/>
      <c r="Z8" s="1"/>
    </row>
    <row r="9" spans="1:26" ht="15.75">
      <c r="A9" s="3"/>
      <c r="B9" s="20" t="s">
        <v>10</v>
      </c>
      <c r="C9" s="21">
        <v>3002</v>
      </c>
      <c r="D9" s="22">
        <v>3769</v>
      </c>
      <c r="E9" s="22">
        <v>4230</v>
      </c>
      <c r="F9" s="22">
        <v>4341</v>
      </c>
      <c r="G9" s="22">
        <v>2713</v>
      </c>
      <c r="H9" s="23">
        <f>SUMIFS(DATA!C2:C660,DATA!D2:D660,"high*tech")</f>
        <v>0</v>
      </c>
      <c r="I9" s="24">
        <f t="shared" si="0"/>
        <v>18055</v>
      </c>
      <c r="K9" s="14"/>
      <c r="L9" s="4"/>
      <c r="M9" s="4"/>
      <c r="N9" s="4"/>
      <c r="O9" s="4"/>
      <c r="P9" s="4"/>
      <c r="Q9" s="4"/>
      <c r="R9" s="5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3"/>
      <c r="B10" s="25" t="s">
        <v>11</v>
      </c>
      <c r="C10" s="26">
        <f t="shared" ref="C10:H10" si="1">SUM(C7:C9)</f>
        <v>27400</v>
      </c>
      <c r="D10" s="27">
        <f t="shared" si="1"/>
        <v>31279</v>
      </c>
      <c r="E10" s="27">
        <f t="shared" si="1"/>
        <v>34547</v>
      </c>
      <c r="F10" s="27">
        <f t="shared" si="1"/>
        <v>35946</v>
      </c>
      <c r="G10" s="27">
        <f t="shared" si="1"/>
        <v>35912</v>
      </c>
      <c r="H10" s="28">
        <f t="shared" si="1"/>
        <v>38289.870000000017</v>
      </c>
      <c r="I10" s="29">
        <f t="shared" si="0"/>
        <v>203373.87000000002</v>
      </c>
      <c r="K10" s="14"/>
      <c r="L10" s="4"/>
      <c r="M10" s="4"/>
      <c r="N10" s="4"/>
      <c r="O10" s="4"/>
      <c r="P10" s="4"/>
      <c r="Q10" s="4"/>
      <c r="R10" s="5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30"/>
      <c r="C11" s="30"/>
      <c r="D11" s="30"/>
      <c r="E11" s="30"/>
      <c r="F11" s="30"/>
      <c r="G11" s="30"/>
      <c r="H11" s="30"/>
      <c r="I11" s="31"/>
      <c r="J11" s="4"/>
      <c r="K11" s="5"/>
      <c r="L11" s="30"/>
      <c r="M11" s="30"/>
      <c r="N11" s="30"/>
      <c r="O11" s="30"/>
      <c r="P11" s="30"/>
      <c r="Q11" s="30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/>
      <c r="C12" s="2"/>
      <c r="D12" s="2"/>
      <c r="E12" s="1"/>
      <c r="F12" s="1"/>
      <c r="G12" s="1"/>
      <c r="H12" s="1"/>
      <c r="I12" s="1"/>
      <c r="J12" s="3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3"/>
      <c r="B13" s="32" t="s">
        <v>12</v>
      </c>
      <c r="C13" s="33" t="s">
        <v>13</v>
      </c>
      <c r="D13" s="33" t="s">
        <v>14</v>
      </c>
      <c r="E13" s="5"/>
      <c r="F13" s="1"/>
      <c r="G13" s="3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/>
      <c r="B14" s="35" t="s">
        <v>15</v>
      </c>
      <c r="C14" s="36">
        <f>COUNTIF(DATA!B2:B660,"&lt;4")</f>
        <v>47</v>
      </c>
      <c r="D14" s="37">
        <f>SUMIF(DATA!B2:B660,"&lt;4",DATA!C2:C660)</f>
        <v>1562.7299999999996</v>
      </c>
      <c r="E14" s="5"/>
      <c r="F14" s="3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/>
      <c r="B15" s="39" t="s">
        <v>16</v>
      </c>
      <c r="C15" s="40">
        <f>COUNTIF(DATA!B2:B660,"&gt;9,5")</f>
        <v>0</v>
      </c>
      <c r="D15" s="41">
        <f>SUMIF(DATA!B2:B660,"&gt;9,5",DATA!C2:C660)</f>
        <v>0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0"/>
      <c r="C16" s="30"/>
      <c r="D16" s="3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" customHeight="1">
      <c r="A19" s="1"/>
      <c r="B19" s="66" t="s">
        <v>17</v>
      </c>
      <c r="C19" s="67"/>
      <c r="D19" s="67"/>
      <c r="E19" s="67"/>
      <c r="F19" s="67"/>
      <c r="G19" s="67"/>
      <c r="H19" s="67"/>
      <c r="I19" s="67"/>
      <c r="J19" s="6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42"/>
      <c r="C20" s="1"/>
      <c r="D20" s="1"/>
      <c r="E20" s="1"/>
      <c r="F20" s="1"/>
      <c r="G20" s="1"/>
      <c r="H20" s="1"/>
      <c r="I20" s="1"/>
      <c r="J20" s="4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42"/>
      <c r="C21" s="1"/>
      <c r="D21" s="1"/>
      <c r="E21" s="1"/>
      <c r="F21" s="1"/>
      <c r="G21" s="1"/>
      <c r="H21" s="1"/>
      <c r="I21" s="1"/>
      <c r="J21" s="4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2"/>
      <c r="C22" s="1"/>
      <c r="D22" s="1"/>
      <c r="E22" s="1"/>
      <c r="F22" s="1"/>
      <c r="G22" s="1"/>
      <c r="H22" s="1"/>
      <c r="I22" s="1"/>
      <c r="J22" s="4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2"/>
      <c r="C23" s="1"/>
      <c r="D23" s="1"/>
      <c r="E23" s="1"/>
      <c r="F23" s="1"/>
      <c r="G23" s="1"/>
      <c r="H23" s="1"/>
      <c r="I23" s="1"/>
      <c r="J23" s="4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42"/>
      <c r="C24" s="1"/>
      <c r="D24" s="1"/>
      <c r="E24" s="1"/>
      <c r="F24" s="1"/>
      <c r="G24" s="1"/>
      <c r="H24" s="1"/>
      <c r="I24" s="1"/>
      <c r="J24" s="4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2"/>
      <c r="C25" s="1"/>
      <c r="D25" s="1"/>
      <c r="E25" s="1"/>
      <c r="F25" s="1"/>
      <c r="G25" s="1"/>
      <c r="H25" s="1"/>
      <c r="I25" s="1"/>
      <c r="J25" s="4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42"/>
      <c r="C26" s="1"/>
      <c r="D26" s="1"/>
      <c r="E26" s="1"/>
      <c r="F26" s="1"/>
      <c r="G26" s="1"/>
      <c r="H26" s="1"/>
      <c r="I26" s="1"/>
      <c r="J26" s="4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2"/>
      <c r="C27" s="1"/>
      <c r="D27" s="1"/>
      <c r="E27" s="1"/>
      <c r="F27" s="1"/>
      <c r="G27" s="1"/>
      <c r="H27" s="1"/>
      <c r="I27" s="1"/>
      <c r="J27" s="4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2"/>
      <c r="C28" s="1"/>
      <c r="D28" s="1"/>
      <c r="E28" s="1"/>
      <c r="F28" s="1"/>
      <c r="G28" s="1"/>
      <c r="H28" s="1"/>
      <c r="I28" s="1"/>
      <c r="J28" s="4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2"/>
      <c r="C29" s="1"/>
      <c r="D29" s="1"/>
      <c r="E29" s="1"/>
      <c r="F29" s="1"/>
      <c r="G29" s="1"/>
      <c r="H29" s="1"/>
      <c r="I29" s="1"/>
      <c r="J29" s="4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2"/>
      <c r="C30" s="1"/>
      <c r="D30" s="1"/>
      <c r="E30" s="1"/>
      <c r="F30" s="1"/>
      <c r="G30" s="1"/>
      <c r="H30" s="1"/>
      <c r="I30" s="1"/>
      <c r="J30" s="4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2"/>
      <c r="C31" s="1"/>
      <c r="D31" s="1"/>
      <c r="E31" s="1"/>
      <c r="F31" s="1"/>
      <c r="G31" s="1"/>
      <c r="H31" s="1"/>
      <c r="I31" s="1"/>
      <c r="J31" s="4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2"/>
      <c r="C32" s="1"/>
      <c r="D32" s="1"/>
      <c r="E32" s="1"/>
      <c r="F32" s="1"/>
      <c r="G32" s="1"/>
      <c r="H32" s="1"/>
      <c r="I32" s="1"/>
      <c r="J32" s="4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2"/>
      <c r="C33" s="1"/>
      <c r="D33" s="1"/>
      <c r="E33" s="1"/>
      <c r="F33" s="1"/>
      <c r="G33" s="1"/>
      <c r="H33" s="1"/>
      <c r="I33" s="1"/>
      <c r="J33" s="4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2"/>
      <c r="C34" s="1"/>
      <c r="D34" s="1"/>
      <c r="E34" s="1"/>
      <c r="F34" s="1"/>
      <c r="G34" s="1"/>
      <c r="H34" s="1"/>
      <c r="I34" s="1"/>
      <c r="J34" s="4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2"/>
      <c r="C35" s="1"/>
      <c r="D35" s="1"/>
      <c r="E35" s="1"/>
      <c r="F35" s="1"/>
      <c r="G35" s="1"/>
      <c r="H35" s="1"/>
      <c r="I35" s="1"/>
      <c r="J35" s="4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2"/>
      <c r="C36" s="1"/>
      <c r="D36" s="1"/>
      <c r="E36" s="1"/>
      <c r="F36" s="1"/>
      <c r="G36" s="1"/>
      <c r="H36" s="1"/>
      <c r="I36" s="1"/>
      <c r="J36" s="4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2"/>
      <c r="C37" s="1"/>
      <c r="D37" s="1"/>
      <c r="E37" s="1"/>
      <c r="F37" s="1"/>
      <c r="G37" s="1"/>
      <c r="H37" s="1"/>
      <c r="I37" s="1"/>
      <c r="J37" s="4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2"/>
      <c r="C38" s="1"/>
      <c r="D38" s="1"/>
      <c r="E38" s="1"/>
      <c r="F38" s="1"/>
      <c r="G38" s="1"/>
      <c r="H38" s="1"/>
      <c r="I38" s="1"/>
      <c r="J38" s="4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2"/>
      <c r="C39" s="1"/>
      <c r="D39" s="1"/>
      <c r="E39" s="1"/>
      <c r="F39" s="1"/>
      <c r="G39" s="1"/>
      <c r="H39" s="1"/>
      <c r="I39" s="1"/>
      <c r="J39" s="4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2"/>
      <c r="C40" s="1"/>
      <c r="D40" s="1"/>
      <c r="E40" s="1"/>
      <c r="F40" s="1"/>
      <c r="G40" s="1"/>
      <c r="H40" s="1"/>
      <c r="I40" s="1"/>
      <c r="J40" s="4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2"/>
      <c r="C41" s="1"/>
      <c r="D41" s="1"/>
      <c r="E41" s="1"/>
      <c r="F41" s="1"/>
      <c r="G41" s="1"/>
      <c r="H41" s="1"/>
      <c r="I41" s="1"/>
      <c r="J41" s="4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4"/>
      <c r="C42" s="45"/>
      <c r="D42" s="45"/>
      <c r="E42" s="45"/>
      <c r="F42" s="45"/>
      <c r="G42" s="45"/>
      <c r="H42" s="45"/>
      <c r="I42" s="45"/>
      <c r="J42" s="4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3" customHeight="1">
      <c r="A44" s="1"/>
      <c r="B44" s="66" t="s">
        <v>18</v>
      </c>
      <c r="C44" s="67"/>
      <c r="D44" s="67"/>
      <c r="E44" s="67"/>
      <c r="F44" s="67"/>
      <c r="G44" s="67"/>
      <c r="H44" s="67"/>
      <c r="I44" s="67"/>
      <c r="J44" s="6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2"/>
      <c r="C45" s="1"/>
      <c r="D45" s="1"/>
      <c r="E45" s="1"/>
      <c r="F45" s="1"/>
      <c r="G45" s="1"/>
      <c r="H45" s="1"/>
      <c r="I45" s="1"/>
      <c r="J45" s="4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2"/>
      <c r="C46" s="1"/>
      <c r="D46" s="1"/>
      <c r="E46" s="1"/>
      <c r="F46" s="1"/>
      <c r="G46" s="1"/>
      <c r="H46" s="1"/>
      <c r="I46" s="1"/>
      <c r="J46" s="4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2"/>
      <c r="C47" s="1"/>
      <c r="D47" s="1"/>
      <c r="E47" s="1"/>
      <c r="F47" s="1"/>
      <c r="G47" s="1"/>
      <c r="H47" s="1"/>
      <c r="I47" s="1"/>
      <c r="J47" s="4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2"/>
      <c r="C48" s="1"/>
      <c r="D48" s="1"/>
      <c r="E48" s="1"/>
      <c r="F48" s="1"/>
      <c r="G48" s="1"/>
      <c r="H48" s="1"/>
      <c r="I48" s="1"/>
      <c r="J48" s="4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2"/>
      <c r="C49" s="1"/>
      <c r="D49" s="1"/>
      <c r="E49" s="1"/>
      <c r="F49" s="1"/>
      <c r="G49" s="1"/>
      <c r="H49" s="1"/>
      <c r="I49" s="1"/>
      <c r="J49" s="4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2"/>
      <c r="C50" s="1"/>
      <c r="D50" s="1"/>
      <c r="E50" s="1"/>
      <c r="F50" s="1"/>
      <c r="G50" s="1"/>
      <c r="H50" s="1"/>
      <c r="I50" s="1"/>
      <c r="J50" s="4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2"/>
      <c r="C51" s="1"/>
      <c r="D51" s="1"/>
      <c r="E51" s="1"/>
      <c r="F51" s="1"/>
      <c r="G51" s="1"/>
      <c r="H51" s="1"/>
      <c r="I51" s="1"/>
      <c r="J51" s="4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2"/>
      <c r="C52" s="1"/>
      <c r="D52" s="1"/>
      <c r="E52" s="1"/>
      <c r="F52" s="1"/>
      <c r="G52" s="1"/>
      <c r="H52" s="1"/>
      <c r="I52" s="1"/>
      <c r="J52" s="4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2"/>
      <c r="C53" s="1"/>
      <c r="D53" s="1"/>
      <c r="E53" s="1"/>
      <c r="F53" s="1"/>
      <c r="G53" s="1"/>
      <c r="H53" s="1"/>
      <c r="I53" s="1"/>
      <c r="J53" s="4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2"/>
      <c r="C54" s="1"/>
      <c r="D54" s="1"/>
      <c r="E54" s="1"/>
      <c r="F54" s="1"/>
      <c r="G54" s="1"/>
      <c r="H54" s="1"/>
      <c r="I54" s="1"/>
      <c r="J54" s="4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2"/>
      <c r="C55" s="1"/>
      <c r="D55" s="1"/>
      <c r="E55" s="1"/>
      <c r="F55" s="1"/>
      <c r="G55" s="1"/>
      <c r="H55" s="1"/>
      <c r="I55" s="1"/>
      <c r="J55" s="4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2"/>
      <c r="C56" s="1"/>
      <c r="D56" s="1"/>
      <c r="E56" s="1"/>
      <c r="F56" s="1"/>
      <c r="G56" s="1"/>
      <c r="H56" s="1"/>
      <c r="I56" s="1"/>
      <c r="J56" s="4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2"/>
      <c r="C57" s="1"/>
      <c r="D57" s="1"/>
      <c r="E57" s="1"/>
      <c r="F57" s="1"/>
      <c r="G57" s="1"/>
      <c r="H57" s="1"/>
      <c r="I57" s="1"/>
      <c r="J57" s="4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42"/>
      <c r="C58" s="1"/>
      <c r="D58" s="1"/>
      <c r="E58" s="1"/>
      <c r="F58" s="1"/>
      <c r="G58" s="1"/>
      <c r="H58" s="1"/>
      <c r="I58" s="1"/>
      <c r="J58" s="4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42"/>
      <c r="C59" s="1"/>
      <c r="D59" s="1"/>
      <c r="E59" s="1"/>
      <c r="F59" s="1"/>
      <c r="G59" s="1"/>
      <c r="H59" s="1"/>
      <c r="I59" s="1"/>
      <c r="J59" s="4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2"/>
      <c r="C60" s="1"/>
      <c r="D60" s="1"/>
      <c r="E60" s="1"/>
      <c r="F60" s="1"/>
      <c r="G60" s="1"/>
      <c r="H60" s="1"/>
      <c r="I60" s="1"/>
      <c r="J60" s="4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42"/>
      <c r="C61" s="1"/>
      <c r="D61" s="1"/>
      <c r="E61" s="1"/>
      <c r="F61" s="1"/>
      <c r="G61" s="1"/>
      <c r="H61" s="1"/>
      <c r="I61" s="1"/>
      <c r="J61" s="4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42"/>
      <c r="C62" s="1"/>
      <c r="D62" s="1"/>
      <c r="E62" s="1"/>
      <c r="F62" s="1"/>
      <c r="G62" s="1"/>
      <c r="H62" s="1"/>
      <c r="I62" s="1"/>
      <c r="J62" s="4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42"/>
      <c r="C63" s="1"/>
      <c r="D63" s="1"/>
      <c r="E63" s="1"/>
      <c r="F63" s="1"/>
      <c r="G63" s="1"/>
      <c r="H63" s="1"/>
      <c r="I63" s="1"/>
      <c r="J63" s="4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42"/>
      <c r="C64" s="1"/>
      <c r="D64" s="1"/>
      <c r="E64" s="1"/>
      <c r="F64" s="1"/>
      <c r="G64" s="1"/>
      <c r="H64" s="1"/>
      <c r="I64" s="1"/>
      <c r="J64" s="4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42"/>
      <c r="C65" s="1"/>
      <c r="D65" s="1"/>
      <c r="E65" s="1"/>
      <c r="F65" s="1"/>
      <c r="G65" s="1"/>
      <c r="H65" s="1"/>
      <c r="I65" s="1"/>
      <c r="J65" s="4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42"/>
      <c r="C66" s="1"/>
      <c r="D66" s="1"/>
      <c r="E66" s="1"/>
      <c r="F66" s="1"/>
      <c r="G66" s="1"/>
      <c r="H66" s="1"/>
      <c r="I66" s="1"/>
      <c r="J66" s="4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44"/>
      <c r="C67" s="45"/>
      <c r="D67" s="45"/>
      <c r="E67" s="45"/>
      <c r="F67" s="45"/>
      <c r="G67" s="45"/>
      <c r="H67" s="45"/>
      <c r="I67" s="45"/>
      <c r="J67" s="4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3" customHeight="1">
      <c r="A69" s="1"/>
      <c r="B69" s="66" t="s">
        <v>19</v>
      </c>
      <c r="C69" s="67"/>
      <c r="D69" s="67"/>
      <c r="E69" s="67"/>
      <c r="F69" s="67"/>
      <c r="G69" s="67"/>
      <c r="H69" s="67"/>
      <c r="I69" s="67"/>
      <c r="J69" s="6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42"/>
      <c r="C70" s="1"/>
      <c r="D70" s="1"/>
      <c r="E70" s="1"/>
      <c r="F70" s="1"/>
      <c r="G70" s="1"/>
      <c r="H70" s="1"/>
      <c r="I70" s="1"/>
      <c r="J70" s="4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42"/>
      <c r="C71" s="1"/>
      <c r="D71" s="1"/>
      <c r="E71" s="1"/>
      <c r="F71" s="1"/>
      <c r="G71" s="1"/>
      <c r="H71" s="1"/>
      <c r="I71" s="1"/>
      <c r="J71" s="4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42"/>
      <c r="C72" s="1"/>
      <c r="D72" s="1"/>
      <c r="E72" s="1"/>
      <c r="F72" s="1"/>
      <c r="G72" s="1"/>
      <c r="H72" s="1"/>
      <c r="I72" s="1"/>
      <c r="J72" s="4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42"/>
      <c r="C73" s="1"/>
      <c r="D73" s="1"/>
      <c r="E73" s="1"/>
      <c r="F73" s="1"/>
      <c r="G73" s="1"/>
      <c r="H73" s="1"/>
      <c r="I73" s="1"/>
      <c r="J73" s="4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42"/>
      <c r="C74" s="1"/>
      <c r="D74" s="1"/>
      <c r="E74" s="1"/>
      <c r="F74" s="1"/>
      <c r="G74" s="1"/>
      <c r="H74" s="1"/>
      <c r="I74" s="1"/>
      <c r="J74" s="4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42"/>
      <c r="C75" s="1"/>
      <c r="D75" s="1"/>
      <c r="E75" s="1"/>
      <c r="F75" s="1"/>
      <c r="G75" s="1"/>
      <c r="H75" s="1"/>
      <c r="I75" s="1"/>
      <c r="J75" s="4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42"/>
      <c r="C76" s="1"/>
      <c r="D76" s="1"/>
      <c r="E76" s="1"/>
      <c r="F76" s="1"/>
      <c r="G76" s="1"/>
      <c r="H76" s="1"/>
      <c r="I76" s="1"/>
      <c r="J76" s="4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42"/>
      <c r="C77" s="1"/>
      <c r="D77" s="1"/>
      <c r="E77" s="1"/>
      <c r="F77" s="2"/>
      <c r="G77" s="1"/>
      <c r="H77" s="1"/>
      <c r="I77" s="1"/>
      <c r="J77" s="4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42"/>
      <c r="C78" s="1"/>
      <c r="D78" s="1"/>
      <c r="E78" s="3"/>
      <c r="F78" s="4"/>
      <c r="G78" s="5"/>
      <c r="H78" s="1"/>
      <c r="I78" s="1"/>
      <c r="J78" s="4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42"/>
      <c r="C79" s="1"/>
      <c r="D79" s="1"/>
      <c r="E79" s="1"/>
      <c r="F79" s="30"/>
      <c r="G79" s="1"/>
      <c r="H79" s="1"/>
      <c r="I79" s="1"/>
      <c r="J79" s="4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42"/>
      <c r="C80" s="1"/>
      <c r="D80" s="1"/>
      <c r="E80" s="1"/>
      <c r="F80" s="1"/>
      <c r="G80" s="1"/>
      <c r="H80" s="1"/>
      <c r="I80" s="1"/>
      <c r="J80" s="4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42"/>
      <c r="C81" s="1"/>
      <c r="D81" s="1"/>
      <c r="E81" s="1"/>
      <c r="F81" s="1"/>
      <c r="G81" s="1"/>
      <c r="H81" s="1"/>
      <c r="I81" s="1"/>
      <c r="J81" s="4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42"/>
      <c r="C82" s="1"/>
      <c r="D82" s="1"/>
      <c r="E82" s="1"/>
      <c r="F82" s="1"/>
      <c r="G82" s="1"/>
      <c r="H82" s="1"/>
      <c r="I82" s="1"/>
      <c r="J82" s="4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42"/>
      <c r="C83" s="1"/>
      <c r="D83" s="1"/>
      <c r="E83" s="1"/>
      <c r="F83" s="1"/>
      <c r="G83" s="1"/>
      <c r="H83" s="1"/>
      <c r="I83" s="1"/>
      <c r="J83" s="4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42"/>
      <c r="C84" s="1"/>
      <c r="D84" s="1"/>
      <c r="E84" s="1"/>
      <c r="F84" s="1"/>
      <c r="G84" s="1"/>
      <c r="H84" s="1"/>
      <c r="I84" s="1"/>
      <c r="J84" s="4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42"/>
      <c r="C85" s="1"/>
      <c r="D85" s="1"/>
      <c r="E85" s="1"/>
      <c r="F85" s="1"/>
      <c r="G85" s="1"/>
      <c r="H85" s="1"/>
      <c r="I85" s="1"/>
      <c r="J85" s="4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42"/>
      <c r="C86" s="1"/>
      <c r="D86" s="1"/>
      <c r="E86" s="1"/>
      <c r="F86" s="1"/>
      <c r="G86" s="1"/>
      <c r="H86" s="1"/>
      <c r="I86" s="1"/>
      <c r="J86" s="4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42"/>
      <c r="C87" s="1"/>
      <c r="D87" s="1"/>
      <c r="E87" s="1"/>
      <c r="F87" s="1"/>
      <c r="G87" s="1"/>
      <c r="H87" s="1"/>
      <c r="I87" s="1"/>
      <c r="J87" s="4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42"/>
      <c r="C88" s="1"/>
      <c r="D88" s="1"/>
      <c r="E88" s="1"/>
      <c r="F88" s="1"/>
      <c r="G88" s="1"/>
      <c r="H88" s="1"/>
      <c r="I88" s="1"/>
      <c r="J88" s="4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42"/>
      <c r="C89" s="1"/>
      <c r="D89" s="1"/>
      <c r="E89" s="1"/>
      <c r="F89" s="1"/>
      <c r="G89" s="1"/>
      <c r="H89" s="1"/>
      <c r="I89" s="1"/>
      <c r="J89" s="4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42"/>
      <c r="C90" s="1"/>
      <c r="D90" s="1"/>
      <c r="E90" s="1"/>
      <c r="F90" s="1"/>
      <c r="G90" s="1"/>
      <c r="H90" s="1"/>
      <c r="I90" s="1"/>
      <c r="J90" s="4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42"/>
      <c r="C91" s="1"/>
      <c r="D91" s="1"/>
      <c r="E91" s="1"/>
      <c r="F91" s="1"/>
      <c r="G91" s="1"/>
      <c r="H91" s="1"/>
      <c r="I91" s="1"/>
      <c r="J91" s="4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44"/>
      <c r="C92" s="45"/>
      <c r="D92" s="45"/>
      <c r="E92" s="45"/>
      <c r="F92" s="45"/>
      <c r="G92" s="45"/>
      <c r="H92" s="45"/>
      <c r="I92" s="45"/>
      <c r="J92" s="4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3" customHeight="1">
      <c r="A94" s="1"/>
      <c r="B94" s="66" t="s">
        <v>20</v>
      </c>
      <c r="C94" s="67"/>
      <c r="D94" s="67"/>
      <c r="E94" s="67"/>
      <c r="F94" s="67"/>
      <c r="G94" s="67"/>
      <c r="H94" s="67"/>
      <c r="I94" s="67"/>
      <c r="J94" s="6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42"/>
      <c r="C95" s="1"/>
      <c r="D95" s="1"/>
      <c r="E95" s="1"/>
      <c r="F95" s="1"/>
      <c r="G95" s="1"/>
      <c r="H95" s="1"/>
      <c r="I95" s="1"/>
      <c r="J95" s="4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42"/>
      <c r="C96" s="1"/>
      <c r="D96" s="1"/>
      <c r="E96" s="1"/>
      <c r="F96" s="1"/>
      <c r="G96" s="1"/>
      <c r="H96" s="1"/>
      <c r="I96" s="1"/>
      <c r="J96" s="4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42"/>
      <c r="C97" s="1"/>
      <c r="D97" s="1"/>
      <c r="E97" s="1"/>
      <c r="F97" s="1"/>
      <c r="G97" s="1"/>
      <c r="H97" s="1"/>
      <c r="I97" s="1"/>
      <c r="J97" s="4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42"/>
      <c r="C98" s="1"/>
      <c r="D98" s="1"/>
      <c r="E98" s="1"/>
      <c r="F98" s="1"/>
      <c r="G98" s="1"/>
      <c r="H98" s="1"/>
      <c r="I98" s="1"/>
      <c r="J98" s="4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42"/>
      <c r="C99" s="1"/>
      <c r="D99" s="1"/>
      <c r="E99" s="1"/>
      <c r="F99" s="1"/>
      <c r="G99" s="1"/>
      <c r="H99" s="1"/>
      <c r="I99" s="1"/>
      <c r="J99" s="4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42"/>
      <c r="C100" s="1"/>
      <c r="D100" s="1"/>
      <c r="E100" s="1"/>
      <c r="F100" s="1"/>
      <c r="G100" s="1"/>
      <c r="H100" s="1"/>
      <c r="I100" s="1"/>
      <c r="J100" s="4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42"/>
      <c r="C101" s="1"/>
      <c r="D101" s="1"/>
      <c r="E101" s="1"/>
      <c r="F101" s="1"/>
      <c r="G101" s="1"/>
      <c r="H101" s="1"/>
      <c r="I101" s="1"/>
      <c r="J101" s="4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42"/>
      <c r="C102" s="1"/>
      <c r="D102" s="1"/>
      <c r="E102" s="1"/>
      <c r="F102" s="1"/>
      <c r="G102" s="1"/>
      <c r="H102" s="1"/>
      <c r="I102" s="1"/>
      <c r="J102" s="4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42"/>
      <c r="C103" s="1"/>
      <c r="D103" s="1"/>
      <c r="E103" s="2"/>
      <c r="F103" s="1"/>
      <c r="G103" s="1"/>
      <c r="H103" s="1"/>
      <c r="I103" s="1"/>
      <c r="J103" s="4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42"/>
      <c r="C104" s="1"/>
      <c r="D104" s="3"/>
      <c r="E104" s="47"/>
      <c r="F104" s="5"/>
      <c r="G104" s="1"/>
      <c r="H104" s="1"/>
      <c r="I104" s="1"/>
      <c r="J104" s="4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42"/>
      <c r="C105" s="1"/>
      <c r="D105" s="1"/>
      <c r="E105" s="30"/>
      <c r="F105" s="1"/>
      <c r="G105" s="1"/>
      <c r="H105" s="1"/>
      <c r="I105" s="1"/>
      <c r="J105" s="4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42"/>
      <c r="C106" s="1"/>
      <c r="D106" s="1"/>
      <c r="E106" s="1"/>
      <c r="F106" s="1"/>
      <c r="G106" s="1"/>
      <c r="H106" s="1"/>
      <c r="I106" s="1"/>
      <c r="J106" s="4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42"/>
      <c r="C107" s="1"/>
      <c r="D107" s="1"/>
      <c r="E107" s="1"/>
      <c r="F107" s="1"/>
      <c r="G107" s="1"/>
      <c r="H107" s="1"/>
      <c r="I107" s="1"/>
      <c r="J107" s="4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42"/>
      <c r="C108" s="1"/>
      <c r="D108" s="1"/>
      <c r="E108" s="1"/>
      <c r="F108" s="1"/>
      <c r="G108" s="1"/>
      <c r="H108" s="1"/>
      <c r="I108" s="1"/>
      <c r="J108" s="4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42"/>
      <c r="C109" s="1"/>
      <c r="D109" s="1"/>
      <c r="E109" s="1"/>
      <c r="F109" s="1"/>
      <c r="G109" s="1"/>
      <c r="H109" s="1"/>
      <c r="I109" s="1"/>
      <c r="J109" s="4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42"/>
      <c r="C110" s="1"/>
      <c r="D110" s="1"/>
      <c r="E110" s="1"/>
      <c r="F110" s="1"/>
      <c r="G110" s="1"/>
      <c r="H110" s="1"/>
      <c r="I110" s="1"/>
      <c r="J110" s="4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42"/>
      <c r="C111" s="1"/>
      <c r="D111" s="1"/>
      <c r="E111" s="1"/>
      <c r="F111" s="1"/>
      <c r="G111" s="1"/>
      <c r="H111" s="1"/>
      <c r="I111" s="1"/>
      <c r="J111" s="4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42"/>
      <c r="C112" s="1"/>
      <c r="D112" s="1"/>
      <c r="E112" s="1"/>
      <c r="F112" s="1"/>
      <c r="G112" s="1"/>
      <c r="H112" s="1"/>
      <c r="I112" s="1"/>
      <c r="J112" s="4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42"/>
      <c r="C113" s="1"/>
      <c r="D113" s="1"/>
      <c r="E113" s="1"/>
      <c r="F113" s="1"/>
      <c r="G113" s="1"/>
      <c r="H113" s="1"/>
      <c r="I113" s="1"/>
      <c r="J113" s="4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42"/>
      <c r="C114" s="1"/>
      <c r="D114" s="1"/>
      <c r="E114" s="1"/>
      <c r="F114" s="1"/>
      <c r="G114" s="1"/>
      <c r="H114" s="1"/>
      <c r="I114" s="1"/>
      <c r="J114" s="4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42"/>
      <c r="C115" s="1"/>
      <c r="D115" s="1"/>
      <c r="E115" s="1"/>
      <c r="F115" s="1"/>
      <c r="G115" s="1"/>
      <c r="H115" s="1"/>
      <c r="I115" s="1"/>
      <c r="J115" s="4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42"/>
      <c r="C116" s="1"/>
      <c r="D116" s="1"/>
      <c r="E116" s="1"/>
      <c r="F116" s="1"/>
      <c r="G116" s="1"/>
      <c r="H116" s="1"/>
      <c r="I116" s="1"/>
      <c r="J116" s="4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44"/>
      <c r="C117" s="45"/>
      <c r="D117" s="45"/>
      <c r="E117" s="45"/>
      <c r="F117" s="45"/>
      <c r="G117" s="45"/>
      <c r="H117" s="45"/>
      <c r="I117" s="45"/>
      <c r="J117" s="4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3" customHeight="1">
      <c r="A119" s="1"/>
      <c r="B119" s="66" t="s">
        <v>21</v>
      </c>
      <c r="C119" s="67"/>
      <c r="D119" s="67"/>
      <c r="E119" s="67"/>
      <c r="F119" s="67"/>
      <c r="G119" s="67"/>
      <c r="H119" s="67"/>
      <c r="I119" s="67"/>
      <c r="J119" s="6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42"/>
      <c r="C120" s="1"/>
      <c r="D120" s="1"/>
      <c r="E120" s="1"/>
      <c r="F120" s="1"/>
      <c r="G120" s="1"/>
      <c r="H120" s="1"/>
      <c r="I120" s="1"/>
      <c r="J120" s="4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42"/>
      <c r="C121" s="1"/>
      <c r="D121" s="1"/>
      <c r="E121" s="1"/>
      <c r="F121" s="1"/>
      <c r="G121" s="1"/>
      <c r="H121" s="1"/>
      <c r="I121" s="1"/>
      <c r="J121" s="4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42"/>
      <c r="C122" s="1"/>
      <c r="D122" s="1"/>
      <c r="E122" s="1"/>
      <c r="F122" s="1"/>
      <c r="G122" s="1"/>
      <c r="H122" s="1"/>
      <c r="I122" s="1"/>
      <c r="J122" s="4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42"/>
      <c r="C123" s="1"/>
      <c r="D123" s="1"/>
      <c r="E123" s="1"/>
      <c r="F123" s="1"/>
      <c r="G123" s="1"/>
      <c r="H123" s="1"/>
      <c r="I123" s="1"/>
      <c r="J123" s="4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42"/>
      <c r="C124" s="1"/>
      <c r="D124" s="1"/>
      <c r="E124" s="1"/>
      <c r="F124" s="1"/>
      <c r="G124" s="1"/>
      <c r="H124" s="1"/>
      <c r="I124" s="1"/>
      <c r="J124" s="4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42"/>
      <c r="C125" s="1"/>
      <c r="D125" s="1"/>
      <c r="E125" s="1"/>
      <c r="F125" s="1"/>
      <c r="G125" s="1"/>
      <c r="H125" s="1"/>
      <c r="I125" s="1"/>
      <c r="J125" s="4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42"/>
      <c r="C126" s="1"/>
      <c r="D126" s="1"/>
      <c r="E126" s="1"/>
      <c r="F126" s="1"/>
      <c r="G126" s="1"/>
      <c r="H126" s="1"/>
      <c r="I126" s="1"/>
      <c r="J126" s="4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42"/>
      <c r="C127" s="1"/>
      <c r="D127" s="1"/>
      <c r="E127" s="1"/>
      <c r="F127" s="1"/>
      <c r="G127" s="1"/>
      <c r="H127" s="1"/>
      <c r="I127" s="1"/>
      <c r="J127" s="4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42"/>
      <c r="C128" s="1"/>
      <c r="D128" s="1"/>
      <c r="E128" s="1"/>
      <c r="F128" s="1"/>
      <c r="G128" s="1"/>
      <c r="H128" s="1"/>
      <c r="I128" s="1"/>
      <c r="J128" s="4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42"/>
      <c r="C129" s="1"/>
      <c r="D129" s="1"/>
      <c r="E129" s="1"/>
      <c r="F129" s="1"/>
      <c r="G129" s="1"/>
      <c r="H129" s="1"/>
      <c r="I129" s="1"/>
      <c r="J129" s="4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42"/>
      <c r="C130" s="1"/>
      <c r="D130" s="1"/>
      <c r="E130" s="1"/>
      <c r="F130" s="1"/>
      <c r="G130" s="1"/>
      <c r="H130" s="1"/>
      <c r="I130" s="1"/>
      <c r="J130" s="4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42"/>
      <c r="C131" s="1"/>
      <c r="D131" s="1"/>
      <c r="E131" s="1"/>
      <c r="F131" s="1"/>
      <c r="G131" s="1"/>
      <c r="H131" s="1"/>
      <c r="I131" s="1"/>
      <c r="J131" s="4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42"/>
      <c r="C132" s="1"/>
      <c r="D132" s="1"/>
      <c r="E132" s="1"/>
      <c r="F132" s="1"/>
      <c r="G132" s="1"/>
      <c r="H132" s="1"/>
      <c r="I132" s="1"/>
      <c r="J132" s="4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42"/>
      <c r="C133" s="1"/>
      <c r="D133" s="1"/>
      <c r="E133" s="1"/>
      <c r="F133" s="1"/>
      <c r="G133" s="1"/>
      <c r="H133" s="1"/>
      <c r="I133" s="1"/>
      <c r="J133" s="4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42"/>
      <c r="C134" s="1"/>
      <c r="D134" s="1"/>
      <c r="E134" s="1"/>
      <c r="F134" s="1"/>
      <c r="G134" s="1"/>
      <c r="H134" s="1"/>
      <c r="I134" s="1"/>
      <c r="J134" s="4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42"/>
      <c r="C135" s="1"/>
      <c r="D135" s="1"/>
      <c r="E135" s="1"/>
      <c r="F135" s="1"/>
      <c r="G135" s="1"/>
      <c r="H135" s="1"/>
      <c r="I135" s="1"/>
      <c r="J135" s="4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42"/>
      <c r="C136" s="1"/>
      <c r="D136" s="1"/>
      <c r="E136" s="1"/>
      <c r="F136" s="1"/>
      <c r="G136" s="1"/>
      <c r="H136" s="1"/>
      <c r="I136" s="1"/>
      <c r="J136" s="4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42"/>
      <c r="C137" s="1"/>
      <c r="D137" s="1"/>
      <c r="E137" s="1"/>
      <c r="F137" s="1"/>
      <c r="G137" s="1"/>
      <c r="H137" s="1"/>
      <c r="I137" s="1"/>
      <c r="J137" s="4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42"/>
      <c r="C138" s="1"/>
      <c r="D138" s="1"/>
      <c r="E138" s="1"/>
      <c r="F138" s="1"/>
      <c r="G138" s="1"/>
      <c r="H138" s="1"/>
      <c r="I138" s="1"/>
      <c r="J138" s="4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42"/>
      <c r="C139" s="1"/>
      <c r="D139" s="1"/>
      <c r="E139" s="1"/>
      <c r="F139" s="1"/>
      <c r="G139" s="1"/>
      <c r="H139" s="1"/>
      <c r="I139" s="1"/>
      <c r="J139" s="4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42"/>
      <c r="C140" s="1"/>
      <c r="D140" s="1"/>
      <c r="E140" s="1"/>
      <c r="F140" s="1"/>
      <c r="G140" s="1"/>
      <c r="H140" s="1"/>
      <c r="I140" s="1"/>
      <c r="J140" s="4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42"/>
      <c r="C141" s="1"/>
      <c r="D141" s="1"/>
      <c r="E141" s="1"/>
      <c r="F141" s="1"/>
      <c r="G141" s="1"/>
      <c r="H141" s="1"/>
      <c r="I141" s="1"/>
      <c r="J141" s="4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44"/>
      <c r="C142" s="45"/>
      <c r="D142" s="45"/>
      <c r="E142" s="45"/>
      <c r="F142" s="45"/>
      <c r="G142" s="45"/>
      <c r="H142" s="45"/>
      <c r="I142" s="45"/>
      <c r="J142" s="4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3">
    <mergeCell ref="B119:J119"/>
    <mergeCell ref="B2:J2"/>
    <mergeCell ref="C5:C6"/>
    <mergeCell ref="D5:D6"/>
    <mergeCell ref="E5:E6"/>
    <mergeCell ref="F5:F6"/>
    <mergeCell ref="G5:G6"/>
    <mergeCell ref="H5:H6"/>
    <mergeCell ref="I5:I6"/>
    <mergeCell ref="B19:J19"/>
    <mergeCell ref="B44:J44"/>
    <mergeCell ref="B69:J69"/>
    <mergeCell ref="B94:J94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7E1CD"/>
  </sheetPr>
  <dimension ref="A1:X1000"/>
  <sheetViews>
    <sheetView workbookViewId="0"/>
  </sheetViews>
  <sheetFormatPr baseColWidth="10" defaultColWidth="14.42578125" defaultRowHeight="15" customHeight="1"/>
  <cols>
    <col min="1" max="1" width="21.28515625" customWidth="1"/>
    <col min="2" max="2" width="20.140625" customWidth="1"/>
    <col min="3" max="3" width="27.42578125" customWidth="1"/>
    <col min="4" max="4" width="22.42578125" customWidth="1"/>
    <col min="5" max="5" width="20.85546875" customWidth="1"/>
    <col min="6" max="24" width="10.7109375" customWidth="1"/>
  </cols>
  <sheetData>
    <row r="1" spans="1:24">
      <c r="A1" s="48" t="s">
        <v>22</v>
      </c>
      <c r="B1" s="49" t="s">
        <v>23</v>
      </c>
      <c r="C1" s="50" t="s">
        <v>24</v>
      </c>
      <c r="D1" s="48" t="s">
        <v>25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>
      <c r="A2" s="48">
        <v>1</v>
      </c>
      <c r="B2" s="49">
        <v>4.84</v>
      </c>
      <c r="C2" s="50">
        <v>48.26</v>
      </c>
      <c r="D2" s="48" t="s">
        <v>8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>
      <c r="A3" s="48">
        <v>1</v>
      </c>
      <c r="B3" s="49">
        <v>6.81</v>
      </c>
      <c r="C3" s="50">
        <v>48.26</v>
      </c>
      <c r="D3" s="48" t="s">
        <v>8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>
      <c r="A4" s="48">
        <v>1</v>
      </c>
      <c r="B4" s="49">
        <v>5.45</v>
      </c>
      <c r="C4" s="50">
        <v>48.26</v>
      </c>
      <c r="D4" s="48" t="s">
        <v>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24">
      <c r="A5" s="48">
        <v>1</v>
      </c>
      <c r="B5" s="49">
        <v>6.73</v>
      </c>
      <c r="C5" s="50">
        <v>44.64</v>
      </c>
      <c r="D5" s="48" t="s">
        <v>9</v>
      </c>
      <c r="E5" s="52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</row>
    <row r="6" spans="1:24">
      <c r="A6" s="48">
        <v>1</v>
      </c>
      <c r="B6" s="49">
        <v>7.93</v>
      </c>
      <c r="C6" s="50">
        <v>53.17</v>
      </c>
      <c r="D6" s="48" t="s">
        <v>9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</row>
    <row r="7" spans="1:24">
      <c r="A7" s="48">
        <v>1</v>
      </c>
      <c r="B7" s="49">
        <v>9.06</v>
      </c>
      <c r="C7" s="50">
        <v>67.66</v>
      </c>
      <c r="D7" s="48" t="s">
        <v>9</v>
      </c>
      <c r="E7" s="52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4">
      <c r="A8" s="48">
        <v>1</v>
      </c>
      <c r="B8" s="49">
        <v>5.76</v>
      </c>
      <c r="C8" s="50">
        <v>36.57</v>
      </c>
      <c r="D8" s="48" t="s">
        <v>9</v>
      </c>
      <c r="E8" s="53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</row>
    <row r="9" spans="1:24">
      <c r="A9" s="48">
        <v>1</v>
      </c>
      <c r="B9" s="49">
        <v>1.8</v>
      </c>
      <c r="C9" s="50">
        <v>31.37</v>
      </c>
      <c r="D9" s="48" t="s">
        <v>9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</row>
    <row r="10" spans="1:24">
      <c r="A10" s="48">
        <v>2</v>
      </c>
      <c r="B10" s="49">
        <v>4.6399999999999997</v>
      </c>
      <c r="C10" s="50">
        <v>48.26</v>
      </c>
      <c r="D10" s="48" t="s">
        <v>8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</row>
    <row r="11" spans="1:24">
      <c r="A11" s="48">
        <v>2</v>
      </c>
      <c r="B11" s="49">
        <v>9.4600000000000009</v>
      </c>
      <c r="C11" s="50">
        <v>90.99</v>
      </c>
      <c r="D11" s="48" t="s">
        <v>8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</row>
    <row r="12" spans="1:24">
      <c r="A12" s="48">
        <v>2</v>
      </c>
      <c r="B12" s="49">
        <v>7.76</v>
      </c>
      <c r="C12" s="50">
        <v>36.99</v>
      </c>
      <c r="D12" s="48" t="s">
        <v>9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</row>
    <row r="13" spans="1:24">
      <c r="A13" s="48">
        <v>2</v>
      </c>
      <c r="B13" s="49">
        <v>8.5399999999999991</v>
      </c>
      <c r="C13" s="50">
        <v>86.36</v>
      </c>
      <c r="D13" s="48" t="s">
        <v>9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</row>
    <row r="14" spans="1:24">
      <c r="A14" s="48">
        <v>2</v>
      </c>
      <c r="B14" s="49">
        <v>7.12</v>
      </c>
      <c r="C14" s="50">
        <v>89.46</v>
      </c>
      <c r="D14" s="48" t="s">
        <v>9</v>
      </c>
      <c r="E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</row>
    <row r="15" spans="1:24">
      <c r="A15" s="48">
        <v>2</v>
      </c>
      <c r="B15" s="49">
        <v>6.03</v>
      </c>
      <c r="C15" s="50">
        <v>66.72</v>
      </c>
      <c r="D15" s="48" t="s">
        <v>9</v>
      </c>
      <c r="E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</row>
    <row r="16" spans="1:24">
      <c r="A16" s="48">
        <v>2</v>
      </c>
      <c r="B16" s="49">
        <v>9.73</v>
      </c>
      <c r="C16" s="50">
        <v>94.71</v>
      </c>
      <c r="D16" s="48" t="s">
        <v>9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</row>
    <row r="17" spans="1:24">
      <c r="A17" s="48">
        <v>2</v>
      </c>
      <c r="B17" s="49">
        <v>5.96</v>
      </c>
      <c r="C17" s="50">
        <v>80.31</v>
      </c>
      <c r="D17" s="48" t="s">
        <v>9</v>
      </c>
      <c r="E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</row>
    <row r="18" spans="1:24">
      <c r="A18" s="48">
        <v>2</v>
      </c>
      <c r="B18" s="49">
        <v>5.0999999999999996</v>
      </c>
      <c r="C18" s="50">
        <v>51</v>
      </c>
      <c r="D18" s="48" t="s">
        <v>9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</row>
    <row r="19" spans="1:24">
      <c r="A19" s="48">
        <v>2</v>
      </c>
      <c r="B19" s="49">
        <v>3.3</v>
      </c>
      <c r="C19" s="50">
        <v>33.03</v>
      </c>
      <c r="D19" s="48" t="s">
        <v>9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</row>
    <row r="20" spans="1:24">
      <c r="A20" s="48">
        <v>2</v>
      </c>
      <c r="B20" s="49">
        <v>10.7</v>
      </c>
      <c r="C20" s="50">
        <v>99.73</v>
      </c>
      <c r="D20" s="48" t="s">
        <v>9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</row>
    <row r="21" spans="1:24" ht="15.75" customHeight="1">
      <c r="A21" s="48">
        <v>2</v>
      </c>
      <c r="B21" s="49">
        <v>12.4</v>
      </c>
      <c r="C21" s="50">
        <v>90.66</v>
      </c>
      <c r="D21" s="48" t="s">
        <v>9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</row>
    <row r="22" spans="1:24" ht="15.75" customHeight="1">
      <c r="A22" s="48">
        <v>3</v>
      </c>
      <c r="B22" s="49">
        <v>6.22</v>
      </c>
      <c r="C22" s="50">
        <v>48.26</v>
      </c>
      <c r="D22" s="48" t="s">
        <v>8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</row>
    <row r="23" spans="1:24" ht="15.75" customHeight="1">
      <c r="A23" s="48">
        <v>3</v>
      </c>
      <c r="B23" s="49">
        <v>5.63</v>
      </c>
      <c r="C23" s="50">
        <v>48.26</v>
      </c>
      <c r="D23" s="48" t="s">
        <v>8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</row>
    <row r="24" spans="1:24" ht="15.75" customHeight="1">
      <c r="A24" s="48">
        <v>3</v>
      </c>
      <c r="B24" s="49">
        <v>7.71</v>
      </c>
      <c r="C24" s="50">
        <v>67.36</v>
      </c>
      <c r="D24" s="48" t="s">
        <v>8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</row>
    <row r="25" spans="1:24" ht="15.75" customHeight="1">
      <c r="A25" s="48">
        <v>3</v>
      </c>
      <c r="B25" s="49">
        <v>8.93</v>
      </c>
      <c r="C25" s="50">
        <v>118.54</v>
      </c>
      <c r="D25" s="48" t="s">
        <v>8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</row>
    <row r="26" spans="1:24" ht="15.75" customHeight="1">
      <c r="A26" s="48">
        <v>3</v>
      </c>
      <c r="B26" s="49">
        <v>8.1199999999999992</v>
      </c>
      <c r="C26" s="50">
        <v>72.25</v>
      </c>
      <c r="D26" s="48" t="s">
        <v>8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</row>
    <row r="27" spans="1:24" ht="15.75" customHeight="1">
      <c r="A27" s="48">
        <v>3</v>
      </c>
      <c r="B27" s="49">
        <v>5.44</v>
      </c>
      <c r="C27" s="50">
        <v>47.04</v>
      </c>
      <c r="D27" s="48" t="s">
        <v>9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</row>
    <row r="28" spans="1:24" ht="15.75" customHeight="1">
      <c r="A28" s="48">
        <v>3</v>
      </c>
      <c r="B28" s="49">
        <v>5.0999999999999996</v>
      </c>
      <c r="C28" s="50">
        <v>38.1</v>
      </c>
      <c r="D28" s="48" t="s">
        <v>9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</row>
    <row r="29" spans="1:24" ht="15.75" customHeight="1">
      <c r="A29" s="48">
        <v>3</v>
      </c>
      <c r="B29" s="49">
        <v>9.23</v>
      </c>
      <c r="C29" s="50">
        <v>94.26</v>
      </c>
      <c r="D29" s="48" t="s">
        <v>9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</row>
    <row r="30" spans="1:24" ht="15.75" customHeight="1">
      <c r="A30" s="48">
        <v>3</v>
      </c>
      <c r="B30" s="49">
        <v>12</v>
      </c>
      <c r="C30" s="50">
        <v>95.73</v>
      </c>
      <c r="D30" s="48" t="s">
        <v>9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</row>
    <row r="31" spans="1:24" ht="15.75" customHeight="1">
      <c r="A31" s="48">
        <v>4</v>
      </c>
      <c r="B31" s="49">
        <v>9.42</v>
      </c>
      <c r="C31" s="50">
        <v>75.459999999999994</v>
      </c>
      <c r="D31" s="48" t="s">
        <v>8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</row>
    <row r="32" spans="1:24" ht="15.75" customHeight="1">
      <c r="A32" s="48">
        <v>4</v>
      </c>
      <c r="B32" s="49">
        <v>5.12</v>
      </c>
      <c r="C32" s="50">
        <v>63.38</v>
      </c>
      <c r="D32" s="48" t="s">
        <v>8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</row>
    <row r="33" spans="1:24" ht="15.75" customHeight="1">
      <c r="A33" s="48">
        <v>4</v>
      </c>
      <c r="B33" s="49">
        <v>5.83</v>
      </c>
      <c r="C33" s="50">
        <v>56.59</v>
      </c>
      <c r="D33" s="48" t="s">
        <v>9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</row>
    <row r="34" spans="1:24" ht="15.75" customHeight="1">
      <c r="A34" s="48">
        <v>4</v>
      </c>
      <c r="B34" s="49">
        <v>7.06</v>
      </c>
      <c r="C34" s="50">
        <v>40.79</v>
      </c>
      <c r="D34" s="48" t="s">
        <v>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</row>
    <row r="35" spans="1:24" ht="15.75" customHeight="1">
      <c r="A35" s="48">
        <v>4</v>
      </c>
      <c r="B35" s="49">
        <v>9.86</v>
      </c>
      <c r="C35" s="50">
        <v>72.349999999999994</v>
      </c>
      <c r="D35" s="48" t="s">
        <v>9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</row>
    <row r="36" spans="1:24" ht="15.75" customHeight="1">
      <c r="A36" s="48">
        <v>4</v>
      </c>
      <c r="B36" s="49">
        <v>10.4</v>
      </c>
      <c r="C36" s="50">
        <v>103.09</v>
      </c>
      <c r="D36" s="48" t="s">
        <v>9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</row>
    <row r="37" spans="1:24" ht="15.75" customHeight="1">
      <c r="A37" s="48">
        <v>5</v>
      </c>
      <c r="B37" s="49">
        <v>7.28</v>
      </c>
      <c r="C37" s="50">
        <v>48.26</v>
      </c>
      <c r="D37" s="48" t="s">
        <v>8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</row>
    <row r="38" spans="1:24" ht="15.75" customHeight="1">
      <c r="A38" s="48">
        <v>5</v>
      </c>
      <c r="B38" s="49">
        <v>5.43</v>
      </c>
      <c r="C38" s="50">
        <v>48.26</v>
      </c>
      <c r="D38" s="48" t="s">
        <v>8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</row>
    <row r="39" spans="1:24" ht="15.75" customHeight="1">
      <c r="A39" s="48">
        <v>5</v>
      </c>
      <c r="B39" s="49">
        <v>8.2200000000000006</v>
      </c>
      <c r="C39" s="50">
        <v>60.49</v>
      </c>
      <c r="D39" s="48" t="s">
        <v>8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</row>
    <row r="40" spans="1:24" ht="15.75" customHeight="1">
      <c r="A40" s="48">
        <v>5</v>
      </c>
      <c r="B40" s="49">
        <v>4.04</v>
      </c>
      <c r="C40" s="50">
        <v>51.67</v>
      </c>
      <c r="D40" s="48" t="s">
        <v>9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</row>
    <row r="41" spans="1:24" ht="15.75" customHeight="1">
      <c r="A41" s="48">
        <v>5</v>
      </c>
      <c r="B41" s="49">
        <v>7.66</v>
      </c>
      <c r="C41" s="50">
        <v>69.099999999999994</v>
      </c>
      <c r="D41" s="48" t="s">
        <v>9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</row>
    <row r="42" spans="1:24" ht="15.75" customHeight="1">
      <c r="A42" s="48">
        <v>5</v>
      </c>
      <c r="B42" s="49">
        <v>4.24</v>
      </c>
      <c r="C42" s="50">
        <v>57.95</v>
      </c>
      <c r="D42" s="48" t="s">
        <v>9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spans="1:24" ht="15.75" customHeight="1">
      <c r="A43" s="48">
        <v>5</v>
      </c>
      <c r="B43" s="49">
        <v>6.85</v>
      </c>
      <c r="C43" s="50">
        <v>54.74</v>
      </c>
      <c r="D43" s="48" t="s">
        <v>9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24" ht="15.75" customHeight="1">
      <c r="A44" s="48">
        <v>5</v>
      </c>
      <c r="B44" s="49">
        <v>6.8</v>
      </c>
      <c r="C44" s="50">
        <v>61.9</v>
      </c>
      <c r="D44" s="48" t="s">
        <v>9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spans="1:24" ht="15.75" customHeight="1">
      <c r="A45" s="48">
        <v>5</v>
      </c>
      <c r="B45" s="49">
        <v>8.52</v>
      </c>
      <c r="C45" s="50">
        <v>66.650000000000006</v>
      </c>
      <c r="D45" s="48" t="s">
        <v>9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spans="1:24" ht="15.75" customHeight="1">
      <c r="A46" s="48">
        <v>5</v>
      </c>
      <c r="B46" s="49">
        <v>8.68</v>
      </c>
      <c r="C46" s="50">
        <v>87.01</v>
      </c>
      <c r="D46" s="48" t="s">
        <v>9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</row>
    <row r="47" spans="1:24" ht="15.75" customHeight="1">
      <c r="A47" s="48">
        <v>5</v>
      </c>
      <c r="B47" s="49">
        <v>7.29</v>
      </c>
      <c r="C47" s="50">
        <v>36.71</v>
      </c>
      <c r="D47" s="48" t="s">
        <v>9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</row>
    <row r="48" spans="1:24" ht="15.75" customHeight="1">
      <c r="A48" s="48">
        <v>5</v>
      </c>
      <c r="B48" s="49">
        <v>5.73</v>
      </c>
      <c r="C48" s="50">
        <v>71.98</v>
      </c>
      <c r="D48" s="48" t="s">
        <v>9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</row>
    <row r="49" spans="1:24" ht="15.75" customHeight="1">
      <c r="A49" s="48">
        <v>5</v>
      </c>
      <c r="B49" s="49">
        <v>1.5</v>
      </c>
      <c r="C49" s="50">
        <v>22.81</v>
      </c>
      <c r="D49" s="48" t="s">
        <v>9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</row>
    <row r="50" spans="1:24" ht="15.75" customHeight="1">
      <c r="A50" s="48">
        <v>6</v>
      </c>
      <c r="B50" s="49">
        <v>9.0500000000000007</v>
      </c>
      <c r="C50" s="50">
        <v>48.26</v>
      </c>
      <c r="D50" s="48" t="s">
        <v>8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</row>
    <row r="51" spans="1:24" ht="15.75" customHeight="1">
      <c r="A51" s="48">
        <v>6</v>
      </c>
      <c r="B51" s="49">
        <v>6.34</v>
      </c>
      <c r="C51" s="50">
        <v>48.26</v>
      </c>
      <c r="D51" s="48" t="s">
        <v>8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</row>
    <row r="52" spans="1:24" ht="15.75" customHeight="1">
      <c r="A52" s="48">
        <v>6</v>
      </c>
      <c r="B52" s="49">
        <v>8.98</v>
      </c>
      <c r="C52" s="50">
        <v>48.26</v>
      </c>
      <c r="D52" s="48" t="s">
        <v>8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spans="1:24" ht="15.75" customHeight="1">
      <c r="A53" s="48">
        <v>6</v>
      </c>
      <c r="B53" s="49">
        <v>7.52</v>
      </c>
      <c r="C53" s="50">
        <v>48.26</v>
      </c>
      <c r="D53" s="48" t="s">
        <v>8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spans="1:24" ht="15.75" customHeight="1">
      <c r="A54" s="48">
        <v>6</v>
      </c>
      <c r="B54" s="49">
        <v>4.68</v>
      </c>
      <c r="C54" s="50">
        <v>9.23</v>
      </c>
      <c r="D54" s="48" t="s">
        <v>8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</row>
    <row r="55" spans="1:24" ht="15.75" customHeight="1">
      <c r="A55" s="48">
        <v>6</v>
      </c>
      <c r="B55" s="49">
        <v>4.78</v>
      </c>
      <c r="C55" s="50">
        <v>62.92</v>
      </c>
      <c r="D55" s="48" t="s">
        <v>8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</row>
    <row r="56" spans="1:24" ht="15.75" customHeight="1">
      <c r="A56" s="48">
        <v>6</v>
      </c>
      <c r="B56" s="49">
        <v>7.33</v>
      </c>
      <c r="C56" s="50">
        <v>71.599999999999994</v>
      </c>
      <c r="D56" s="48" t="s">
        <v>9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</row>
    <row r="57" spans="1:24" ht="15.75" customHeight="1">
      <c r="A57" s="48">
        <v>6</v>
      </c>
      <c r="B57" s="49">
        <v>9.33</v>
      </c>
      <c r="C57" s="50">
        <v>70.38</v>
      </c>
      <c r="D57" s="48" t="s">
        <v>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</row>
    <row r="58" spans="1:24" ht="15.75" customHeight="1">
      <c r="A58" s="48">
        <v>6</v>
      </c>
      <c r="B58" s="49">
        <v>2.5</v>
      </c>
      <c r="C58" s="50">
        <v>38.9</v>
      </c>
      <c r="D58" s="48" t="s">
        <v>9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</row>
    <row r="59" spans="1:24" ht="15.75" customHeight="1">
      <c r="A59" s="48">
        <v>6</v>
      </c>
      <c r="B59" s="49">
        <v>1.8</v>
      </c>
      <c r="C59" s="50">
        <v>67.260000000000005</v>
      </c>
      <c r="D59" s="48" t="s">
        <v>9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</row>
    <row r="60" spans="1:24" ht="15.75" customHeight="1">
      <c r="A60" s="48">
        <v>7</v>
      </c>
      <c r="B60" s="49">
        <v>9.9499999999999993</v>
      </c>
      <c r="C60" s="50">
        <v>48.26</v>
      </c>
      <c r="D60" s="48" t="s">
        <v>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</row>
    <row r="61" spans="1:24" ht="15.75" customHeight="1">
      <c r="A61" s="48">
        <v>7</v>
      </c>
      <c r="B61" s="49">
        <v>7.45</v>
      </c>
      <c r="C61" s="50">
        <v>48.26</v>
      </c>
      <c r="D61" s="48" t="s">
        <v>8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</row>
    <row r="62" spans="1:24" ht="15.75" customHeight="1">
      <c r="A62" s="48">
        <v>7</v>
      </c>
      <c r="B62" s="49">
        <v>6.43</v>
      </c>
      <c r="C62" s="50">
        <v>48.26</v>
      </c>
      <c r="D62" s="48" t="s">
        <v>8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</row>
    <row r="63" spans="1:24" ht="15.75" customHeight="1">
      <c r="A63" s="48">
        <v>7</v>
      </c>
      <c r="B63" s="49">
        <v>7.75</v>
      </c>
      <c r="C63" s="50">
        <v>48.26</v>
      </c>
      <c r="D63" s="48" t="s">
        <v>8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</row>
    <row r="64" spans="1:24" ht="15.75" customHeight="1">
      <c r="A64" s="48">
        <v>7</v>
      </c>
      <c r="B64" s="49">
        <v>8.9600000000000009</v>
      </c>
      <c r="C64" s="50">
        <v>48.26</v>
      </c>
      <c r="D64" s="48" t="s">
        <v>8</v>
      </c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</row>
    <row r="65" spans="1:24" ht="15.75" customHeight="1">
      <c r="A65" s="48">
        <v>7</v>
      </c>
      <c r="B65" s="49">
        <v>4.4400000000000004</v>
      </c>
      <c r="C65" s="50">
        <v>76.47</v>
      </c>
      <c r="D65" s="48" t="s">
        <v>8</v>
      </c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</row>
    <row r="66" spans="1:24" ht="15.75" customHeight="1">
      <c r="A66" s="48">
        <v>7</v>
      </c>
      <c r="B66" s="49">
        <v>7.91</v>
      </c>
      <c r="C66" s="50">
        <v>66.209999999999994</v>
      </c>
      <c r="D66" s="48" t="s">
        <v>8</v>
      </c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</row>
    <row r="67" spans="1:24" ht="15.75" customHeight="1">
      <c r="A67" s="48">
        <v>7</v>
      </c>
      <c r="B67" s="49">
        <v>5.36</v>
      </c>
      <c r="C67" s="50">
        <v>66.86</v>
      </c>
      <c r="D67" s="48" t="s">
        <v>8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</row>
    <row r="68" spans="1:24" ht="15.75" customHeight="1">
      <c r="A68" s="48">
        <v>7</v>
      </c>
      <c r="B68" s="49">
        <v>8.17</v>
      </c>
      <c r="C68" s="50">
        <v>65.260000000000005</v>
      </c>
      <c r="D68" s="48" t="s">
        <v>9</v>
      </c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</row>
    <row r="69" spans="1:24" ht="15.75" customHeight="1">
      <c r="A69" s="48">
        <v>7</v>
      </c>
      <c r="B69" s="49">
        <v>9.5</v>
      </c>
      <c r="C69" s="50">
        <v>47.91</v>
      </c>
      <c r="D69" s="48" t="s">
        <v>9</v>
      </c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</row>
    <row r="70" spans="1:24" ht="15.75" customHeight="1">
      <c r="A70" s="48">
        <v>7</v>
      </c>
      <c r="B70" s="49">
        <v>6.99</v>
      </c>
      <c r="C70" s="50">
        <v>57.18</v>
      </c>
      <c r="D70" s="48" t="s">
        <v>9</v>
      </c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</row>
    <row r="71" spans="1:24" ht="15.75" customHeight="1">
      <c r="A71" s="48">
        <v>7</v>
      </c>
      <c r="B71" s="49">
        <v>4.3899999999999997</v>
      </c>
      <c r="C71" s="50">
        <v>20.170000000000002</v>
      </c>
      <c r="D71" s="48" t="s">
        <v>9</v>
      </c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</row>
    <row r="72" spans="1:24" ht="15.75" customHeight="1">
      <c r="A72" s="48">
        <v>7</v>
      </c>
      <c r="B72" s="49">
        <v>4.0599999999999996</v>
      </c>
      <c r="C72" s="50">
        <v>21.98</v>
      </c>
      <c r="D72" s="48" t="s">
        <v>9</v>
      </c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</row>
    <row r="73" spans="1:24" ht="15.75" customHeight="1">
      <c r="A73" s="48">
        <v>7</v>
      </c>
      <c r="B73" s="49">
        <v>5.84</v>
      </c>
      <c r="C73" s="50">
        <v>40.15</v>
      </c>
      <c r="D73" s="48" t="s">
        <v>9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</row>
    <row r="74" spans="1:24" ht="15.75" customHeight="1">
      <c r="A74" s="48">
        <v>7</v>
      </c>
      <c r="B74" s="49">
        <v>5.66</v>
      </c>
      <c r="C74" s="50">
        <v>56.39</v>
      </c>
      <c r="D74" s="48" t="s">
        <v>9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</row>
    <row r="75" spans="1:24" ht="15.75" customHeight="1">
      <c r="A75" s="48">
        <v>7</v>
      </c>
      <c r="B75" s="49">
        <v>3.9</v>
      </c>
      <c r="C75" s="50">
        <v>11.95</v>
      </c>
      <c r="D75" s="48" t="s">
        <v>9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</row>
    <row r="76" spans="1:24" ht="15.75" customHeight="1">
      <c r="A76" s="48">
        <v>8</v>
      </c>
      <c r="B76" s="49">
        <v>5.64</v>
      </c>
      <c r="C76" s="50">
        <v>48.26</v>
      </c>
      <c r="D76" s="48" t="s">
        <v>8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</row>
    <row r="77" spans="1:24" ht="15.75" customHeight="1">
      <c r="A77" s="48">
        <v>8</v>
      </c>
      <c r="B77" s="49">
        <v>8.39</v>
      </c>
      <c r="C77" s="50">
        <v>89.98</v>
      </c>
      <c r="D77" s="48" t="s">
        <v>8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</row>
    <row r="78" spans="1:24" ht="15.75" customHeight="1">
      <c r="A78" s="48">
        <v>8</v>
      </c>
      <c r="B78" s="49">
        <v>9.66</v>
      </c>
      <c r="C78" s="50">
        <v>63.34</v>
      </c>
      <c r="D78" s="48" t="s">
        <v>9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spans="1:24" ht="15.75" customHeight="1">
      <c r="A79" s="48">
        <v>8</v>
      </c>
      <c r="B79" s="49">
        <v>4.22</v>
      </c>
      <c r="C79" s="50">
        <v>52.93</v>
      </c>
      <c r="D79" s="48" t="s">
        <v>9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</row>
    <row r="80" spans="1:24" ht="15.75" customHeight="1">
      <c r="A80" s="48">
        <v>8</v>
      </c>
      <c r="B80" s="49">
        <v>9.1999999999999993</v>
      </c>
      <c r="C80" s="50">
        <v>73.45</v>
      </c>
      <c r="D80" s="48" t="s">
        <v>9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</row>
    <row r="81" spans="1:24" ht="15.75" customHeight="1">
      <c r="A81" s="48">
        <v>8</v>
      </c>
      <c r="B81" s="49">
        <v>6.67</v>
      </c>
      <c r="C81" s="50">
        <v>50.18</v>
      </c>
      <c r="D81" s="48" t="s">
        <v>9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</row>
    <row r="82" spans="1:24" ht="15.75" customHeight="1">
      <c r="A82" s="48">
        <v>8</v>
      </c>
      <c r="B82" s="49">
        <v>4.62</v>
      </c>
      <c r="C82" s="50">
        <v>24.61</v>
      </c>
      <c r="D82" s="48" t="s">
        <v>9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</row>
    <row r="83" spans="1:24" ht="15.75" customHeight="1">
      <c r="A83" s="48">
        <v>8</v>
      </c>
      <c r="B83" s="49">
        <v>4.87</v>
      </c>
      <c r="C83" s="50">
        <v>53.52</v>
      </c>
      <c r="D83" s="48" t="s">
        <v>9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</row>
    <row r="84" spans="1:24" ht="15.75" customHeight="1">
      <c r="A84" s="48">
        <v>8</v>
      </c>
      <c r="B84" s="49">
        <v>9.25</v>
      </c>
      <c r="C84" s="50">
        <v>55.73</v>
      </c>
      <c r="D84" s="48" t="s">
        <v>9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</row>
    <row r="85" spans="1:24" ht="15.75" customHeight="1">
      <c r="A85" s="48">
        <v>9</v>
      </c>
      <c r="B85" s="49">
        <v>5.67</v>
      </c>
      <c r="C85" s="50">
        <v>48.26</v>
      </c>
      <c r="D85" s="48" t="s">
        <v>8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</row>
    <row r="86" spans="1:24" ht="15.75" customHeight="1">
      <c r="A86" s="48">
        <v>9</v>
      </c>
      <c r="B86" s="49">
        <v>9.9600000000000009</v>
      </c>
      <c r="C86" s="50">
        <v>50.61</v>
      </c>
      <c r="D86" s="48" t="s">
        <v>8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</row>
    <row r="87" spans="1:24" ht="15.75" customHeight="1">
      <c r="A87" s="48">
        <v>9</v>
      </c>
      <c r="B87" s="49">
        <v>6.5</v>
      </c>
      <c r="C87" s="50">
        <v>76.010000000000005</v>
      </c>
      <c r="D87" s="48" t="s">
        <v>8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</row>
    <row r="88" spans="1:24" ht="15.75" customHeight="1">
      <c r="A88" s="48">
        <v>9</v>
      </c>
      <c r="B88" s="49">
        <v>5.47</v>
      </c>
      <c r="C88" s="50">
        <v>45.76</v>
      </c>
      <c r="D88" s="48" t="s">
        <v>8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</row>
    <row r="89" spans="1:24" ht="15.75" customHeight="1">
      <c r="A89" s="48">
        <v>9</v>
      </c>
      <c r="B89" s="49">
        <v>4.3</v>
      </c>
      <c r="C89" s="50">
        <v>50.74</v>
      </c>
      <c r="D89" s="48" t="s">
        <v>8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</row>
    <row r="90" spans="1:24" ht="15.75" customHeight="1">
      <c r="A90" s="48">
        <v>9</v>
      </c>
      <c r="B90" s="49">
        <v>6.81</v>
      </c>
      <c r="C90" s="50">
        <v>70.040000000000006</v>
      </c>
      <c r="D90" s="48" t="s">
        <v>9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</row>
    <row r="91" spans="1:24" ht="15.75" customHeight="1">
      <c r="A91" s="48">
        <v>9</v>
      </c>
      <c r="B91" s="49">
        <v>5.68</v>
      </c>
      <c r="C91" s="50">
        <v>47.5</v>
      </c>
      <c r="D91" s="48" t="s">
        <v>9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</row>
    <row r="92" spans="1:24" ht="15.75" customHeight="1">
      <c r="A92" s="48">
        <v>9</v>
      </c>
      <c r="B92" s="49">
        <v>4.4400000000000004</v>
      </c>
      <c r="C92" s="50">
        <v>34.409999999999997</v>
      </c>
      <c r="D92" s="48" t="s">
        <v>9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</row>
    <row r="93" spans="1:24" ht="15.75" customHeight="1">
      <c r="A93" s="48">
        <v>9</v>
      </c>
      <c r="B93" s="49">
        <v>9.57</v>
      </c>
      <c r="C93" s="50">
        <v>80.03</v>
      </c>
      <c r="D93" s="48" t="s">
        <v>9</v>
      </c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</row>
    <row r="94" spans="1:24" ht="15.75" customHeight="1">
      <c r="A94" s="48">
        <v>9</v>
      </c>
      <c r="B94" s="49">
        <v>6.7</v>
      </c>
      <c r="C94" s="50">
        <v>47.74</v>
      </c>
      <c r="D94" s="48" t="s">
        <v>9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</row>
    <row r="95" spans="1:24" ht="15.75" customHeight="1">
      <c r="A95" s="48">
        <v>9</v>
      </c>
      <c r="B95" s="49">
        <v>9.23</v>
      </c>
      <c r="C95" s="50">
        <v>82.68</v>
      </c>
      <c r="D95" s="48" t="s">
        <v>9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</row>
    <row r="96" spans="1:24" ht="15.75" customHeight="1">
      <c r="A96" s="48">
        <v>9</v>
      </c>
      <c r="B96" s="49">
        <v>4.46</v>
      </c>
      <c r="C96" s="50">
        <v>30.81</v>
      </c>
      <c r="D96" s="48" t="s">
        <v>9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</row>
    <row r="97" spans="1:24" ht="15.75" customHeight="1">
      <c r="A97" s="48">
        <v>9</v>
      </c>
      <c r="B97" s="49">
        <v>8.1199999999999992</v>
      </c>
      <c r="C97" s="50">
        <v>89.07</v>
      </c>
      <c r="D97" s="48" t="s">
        <v>9</v>
      </c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</row>
    <row r="98" spans="1:24" ht="15.75" customHeight="1">
      <c r="A98" s="48">
        <v>9</v>
      </c>
      <c r="B98" s="49">
        <v>3.5</v>
      </c>
      <c r="C98" s="50">
        <v>51.98</v>
      </c>
      <c r="D98" s="48" t="s">
        <v>9</v>
      </c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</row>
    <row r="99" spans="1:24" ht="15.75" customHeight="1">
      <c r="A99" s="48">
        <v>9</v>
      </c>
      <c r="B99" s="49">
        <v>2.2999999999999998</v>
      </c>
      <c r="C99" s="50">
        <v>51.99</v>
      </c>
      <c r="D99" s="48" t="s">
        <v>9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</row>
    <row r="100" spans="1:24" ht="15.75" customHeight="1">
      <c r="A100" s="48">
        <v>9</v>
      </c>
      <c r="B100" s="49">
        <v>2.1</v>
      </c>
      <c r="C100" s="50">
        <v>22.59</v>
      </c>
      <c r="D100" s="48" t="s">
        <v>9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</row>
    <row r="101" spans="1:24" ht="15.75" customHeight="1">
      <c r="A101" s="48">
        <v>10</v>
      </c>
      <c r="B101" s="49">
        <v>6.69</v>
      </c>
      <c r="C101" s="50">
        <v>48.26</v>
      </c>
      <c r="D101" s="48" t="s">
        <v>8</v>
      </c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</row>
    <row r="102" spans="1:24" ht="15.75" customHeight="1">
      <c r="A102" s="48">
        <v>10</v>
      </c>
      <c r="B102" s="49">
        <v>7.21</v>
      </c>
      <c r="C102" s="50">
        <v>48.26</v>
      </c>
      <c r="D102" s="48" t="s">
        <v>8</v>
      </c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</row>
    <row r="103" spans="1:24" ht="15.75" customHeight="1">
      <c r="A103" s="48">
        <v>10</v>
      </c>
      <c r="B103" s="49">
        <v>6.76</v>
      </c>
      <c r="C103" s="50">
        <v>37.07</v>
      </c>
      <c r="D103" s="48" t="s">
        <v>8</v>
      </c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</row>
    <row r="104" spans="1:24" ht="15.75" customHeight="1">
      <c r="A104" s="48">
        <v>10</v>
      </c>
      <c r="B104" s="49">
        <v>9.75</v>
      </c>
      <c r="C104" s="50">
        <v>51.12</v>
      </c>
      <c r="D104" s="48" t="s">
        <v>8</v>
      </c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</row>
    <row r="105" spans="1:24" ht="15.75" customHeight="1">
      <c r="A105" s="48">
        <v>10</v>
      </c>
      <c r="B105" s="49">
        <v>5.46</v>
      </c>
      <c r="C105" s="50">
        <v>21.46</v>
      </c>
      <c r="D105" s="48" t="s">
        <v>8</v>
      </c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</row>
    <row r="106" spans="1:24" ht="15.75" customHeight="1">
      <c r="A106" s="48">
        <v>10</v>
      </c>
      <c r="B106" s="49">
        <v>7.27</v>
      </c>
      <c r="C106" s="50">
        <v>62.96</v>
      </c>
      <c r="D106" s="48" t="s">
        <v>9</v>
      </c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</row>
    <row r="107" spans="1:24" ht="15.75" customHeight="1">
      <c r="A107" s="48">
        <v>10</v>
      </c>
      <c r="B107" s="49">
        <v>6.95</v>
      </c>
      <c r="C107" s="50">
        <v>87.42</v>
      </c>
      <c r="D107" s="48" t="s">
        <v>9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</row>
    <row r="108" spans="1:24" ht="15.75" customHeight="1">
      <c r="A108" s="48">
        <v>10</v>
      </c>
      <c r="B108" s="49">
        <v>6.96</v>
      </c>
      <c r="C108" s="50">
        <v>47.98</v>
      </c>
      <c r="D108" s="48" t="s">
        <v>9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</row>
    <row r="109" spans="1:24" ht="15.75" customHeight="1">
      <c r="A109" s="48">
        <v>10</v>
      </c>
      <c r="B109" s="49">
        <v>5.65</v>
      </c>
      <c r="C109" s="50">
        <v>20.309999999999999</v>
      </c>
      <c r="D109" s="48" t="s">
        <v>9</v>
      </c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</row>
    <row r="110" spans="1:24" ht="15.75" customHeight="1">
      <c r="A110" s="48">
        <v>10</v>
      </c>
      <c r="B110" s="49">
        <v>4.8</v>
      </c>
      <c r="C110" s="50">
        <v>29.99</v>
      </c>
      <c r="D110" s="48" t="s">
        <v>9</v>
      </c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</row>
    <row r="111" spans="1:24" ht="15.75" customHeight="1">
      <c r="A111" s="48">
        <v>10</v>
      </c>
      <c r="B111" s="49">
        <v>4.26</v>
      </c>
      <c r="C111" s="50">
        <v>43.55</v>
      </c>
      <c r="D111" s="48" t="s">
        <v>9</v>
      </c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</row>
    <row r="112" spans="1:24" ht="15.75" customHeight="1">
      <c r="A112" s="48">
        <v>10</v>
      </c>
      <c r="B112" s="49">
        <v>8.02</v>
      </c>
      <c r="C112" s="50">
        <v>79.25</v>
      </c>
      <c r="D112" s="48" t="s">
        <v>9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</row>
    <row r="113" spans="1:24" ht="15.75" customHeight="1">
      <c r="A113" s="48">
        <v>10</v>
      </c>
      <c r="B113" s="49">
        <v>5.93</v>
      </c>
      <c r="C113" s="50">
        <v>44.95</v>
      </c>
      <c r="D113" s="48" t="s">
        <v>9</v>
      </c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</row>
    <row r="114" spans="1:24" ht="15.75" customHeight="1">
      <c r="A114" s="48">
        <v>10</v>
      </c>
      <c r="B114" s="49">
        <v>9.85</v>
      </c>
      <c r="C114" s="50">
        <v>42.98</v>
      </c>
      <c r="D114" s="48" t="s">
        <v>9</v>
      </c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</row>
    <row r="115" spans="1:24" ht="15.75" customHeight="1">
      <c r="A115" s="48">
        <v>10</v>
      </c>
      <c r="B115" s="49">
        <v>11.6</v>
      </c>
      <c r="C115" s="50">
        <v>64.5</v>
      </c>
      <c r="D115" s="48" t="s">
        <v>9</v>
      </c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</row>
    <row r="116" spans="1:24" ht="15.75" customHeight="1">
      <c r="A116" s="48">
        <v>11</v>
      </c>
      <c r="B116" s="49">
        <v>5.46</v>
      </c>
      <c r="C116" s="50">
        <v>48.26</v>
      </c>
      <c r="D116" s="48" t="s">
        <v>8</v>
      </c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</row>
    <row r="117" spans="1:24" ht="15.75" customHeight="1">
      <c r="A117" s="48">
        <v>11</v>
      </c>
      <c r="B117" s="49">
        <v>6.64</v>
      </c>
      <c r="C117" s="50">
        <v>48.26</v>
      </c>
      <c r="D117" s="48" t="s">
        <v>8</v>
      </c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spans="1:24" ht="15.75" customHeight="1">
      <c r="A118" s="48">
        <v>11</v>
      </c>
      <c r="B118" s="49">
        <v>6.33</v>
      </c>
      <c r="C118" s="50">
        <v>50.62</v>
      </c>
      <c r="D118" s="48" t="s">
        <v>8</v>
      </c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spans="1:24" ht="15.75" customHeight="1">
      <c r="A119" s="48">
        <v>11</v>
      </c>
      <c r="B119" s="49">
        <v>8.19</v>
      </c>
      <c r="C119" s="50">
        <v>77.39</v>
      </c>
      <c r="D119" s="48" t="s">
        <v>9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0" spans="1:24" ht="15.75" customHeight="1">
      <c r="A120" s="48">
        <v>11</v>
      </c>
      <c r="B120" s="49">
        <v>3.5</v>
      </c>
      <c r="C120" s="50">
        <v>22.47</v>
      </c>
      <c r="D120" s="48" t="s">
        <v>9</v>
      </c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</row>
    <row r="121" spans="1:24" ht="15.75" customHeight="1">
      <c r="A121" s="48">
        <v>12</v>
      </c>
      <c r="B121" s="49">
        <v>8.44</v>
      </c>
      <c r="C121" s="50">
        <v>48.26</v>
      </c>
      <c r="D121" s="48" t="s">
        <v>8</v>
      </c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spans="1:24" ht="15.75" customHeight="1">
      <c r="A122" s="48">
        <v>12</v>
      </c>
      <c r="B122" s="49">
        <v>9.07</v>
      </c>
      <c r="C122" s="50">
        <v>68.02</v>
      </c>
      <c r="D122" s="48" t="s">
        <v>8</v>
      </c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</row>
    <row r="123" spans="1:24" ht="15.75" customHeight="1">
      <c r="A123" s="48">
        <v>12</v>
      </c>
      <c r="B123" s="49">
        <v>4.5199999999999996</v>
      </c>
      <c r="C123" s="50">
        <v>45.92</v>
      </c>
      <c r="D123" s="48" t="s">
        <v>8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</row>
    <row r="124" spans="1:24" ht="15.75" customHeight="1">
      <c r="A124" s="48">
        <v>12</v>
      </c>
      <c r="B124" s="49">
        <v>5.61</v>
      </c>
      <c r="C124" s="50">
        <v>83.08</v>
      </c>
      <c r="D124" s="48" t="s">
        <v>9</v>
      </c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</row>
    <row r="125" spans="1:24" ht="15.75" customHeight="1">
      <c r="A125" s="48">
        <v>12</v>
      </c>
      <c r="B125" s="49">
        <v>6.96</v>
      </c>
      <c r="C125" s="50">
        <v>61.19</v>
      </c>
      <c r="D125" s="48" t="s">
        <v>9</v>
      </c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</row>
    <row r="126" spans="1:24" ht="15.75" customHeight="1">
      <c r="A126" s="48">
        <v>12</v>
      </c>
      <c r="B126" s="49">
        <v>2.4</v>
      </c>
      <c r="C126" s="50">
        <v>31.1</v>
      </c>
      <c r="D126" s="48" t="s">
        <v>9</v>
      </c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</row>
    <row r="127" spans="1:24" ht="15.75" customHeight="1">
      <c r="A127" s="48">
        <v>12</v>
      </c>
      <c r="B127" s="49">
        <v>3.7</v>
      </c>
      <c r="C127" s="50">
        <v>34.53</v>
      </c>
      <c r="D127" s="48" t="s">
        <v>9</v>
      </c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</row>
    <row r="128" spans="1:24" ht="15.75" customHeight="1">
      <c r="A128" s="48">
        <v>12</v>
      </c>
      <c r="B128" s="49">
        <v>3.9</v>
      </c>
      <c r="C128" s="50">
        <v>50.93</v>
      </c>
      <c r="D128" s="48" t="s">
        <v>9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</row>
    <row r="129" spans="1:24" ht="15.75" customHeight="1">
      <c r="A129" s="48">
        <v>13</v>
      </c>
      <c r="B129" s="49">
        <v>7.11</v>
      </c>
      <c r="C129" s="50">
        <v>48.26</v>
      </c>
      <c r="D129" s="48" t="s">
        <v>8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</row>
    <row r="130" spans="1:24" ht="15.75" customHeight="1">
      <c r="A130" s="48">
        <v>13</v>
      </c>
      <c r="B130" s="49">
        <v>6.16</v>
      </c>
      <c r="C130" s="50">
        <v>70.489999999999995</v>
      </c>
      <c r="D130" s="48" t="s">
        <v>8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</row>
    <row r="131" spans="1:24" ht="15.75" customHeight="1">
      <c r="A131" s="48">
        <v>13</v>
      </c>
      <c r="B131" s="49">
        <v>8.24</v>
      </c>
      <c r="C131" s="50">
        <v>76.959999999999994</v>
      </c>
      <c r="D131" s="48" t="s">
        <v>8</v>
      </c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</row>
    <row r="132" spans="1:24" ht="15.75" customHeight="1">
      <c r="A132" s="48">
        <v>13</v>
      </c>
      <c r="B132" s="49">
        <v>4.08</v>
      </c>
      <c r="C132" s="50">
        <v>82.05</v>
      </c>
      <c r="D132" s="48" t="s">
        <v>8</v>
      </c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</row>
    <row r="133" spans="1:24" ht="15.75" customHeight="1">
      <c r="A133" s="48">
        <v>13</v>
      </c>
      <c r="B133" s="49">
        <v>7.88</v>
      </c>
      <c r="C133" s="50">
        <v>67.95</v>
      </c>
      <c r="D133" s="48" t="s">
        <v>9</v>
      </c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</row>
    <row r="134" spans="1:24" ht="15.75" customHeight="1">
      <c r="A134" s="48">
        <v>13</v>
      </c>
      <c r="B134" s="49">
        <v>5.2</v>
      </c>
      <c r="C134" s="50">
        <v>37.39</v>
      </c>
      <c r="D134" s="48" t="s">
        <v>9</v>
      </c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</row>
    <row r="135" spans="1:24" ht="15.75" customHeight="1">
      <c r="A135" s="48">
        <v>13</v>
      </c>
      <c r="B135" s="49">
        <v>4.7699999999999996</v>
      </c>
      <c r="C135" s="50">
        <v>43.81</v>
      </c>
      <c r="D135" s="48" t="s">
        <v>9</v>
      </c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</row>
    <row r="136" spans="1:24" ht="15.75" customHeight="1">
      <c r="A136" s="48">
        <v>13</v>
      </c>
      <c r="B136" s="49">
        <v>5.42</v>
      </c>
      <c r="C136" s="50">
        <v>35.58</v>
      </c>
      <c r="D136" s="48" t="s">
        <v>9</v>
      </c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</row>
    <row r="137" spans="1:24" ht="15.75" customHeight="1">
      <c r="A137" s="48">
        <v>13</v>
      </c>
      <c r="B137" s="49">
        <v>5.67</v>
      </c>
      <c r="C137" s="50">
        <v>61.28</v>
      </c>
      <c r="D137" s="48" t="s">
        <v>9</v>
      </c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</row>
    <row r="138" spans="1:24" ht="15.75" customHeight="1">
      <c r="A138" s="48">
        <v>13</v>
      </c>
      <c r="B138" s="49">
        <v>2.2999999999999998</v>
      </c>
      <c r="C138" s="50">
        <v>14</v>
      </c>
      <c r="D138" s="48" t="s">
        <v>9</v>
      </c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</row>
    <row r="139" spans="1:24" ht="15.75" customHeight="1">
      <c r="A139" s="48">
        <v>13</v>
      </c>
      <c r="B139" s="49">
        <v>10.6</v>
      </c>
      <c r="C139" s="50">
        <v>51.82</v>
      </c>
      <c r="D139" s="48" t="s">
        <v>9</v>
      </c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</row>
    <row r="140" spans="1:24" ht="15.75" customHeight="1">
      <c r="A140" s="48">
        <v>14</v>
      </c>
      <c r="B140" s="49">
        <v>6.28</v>
      </c>
      <c r="C140" s="50">
        <v>48.26</v>
      </c>
      <c r="D140" s="48" t="s">
        <v>8</v>
      </c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spans="1:24" ht="15.75" customHeight="1">
      <c r="A141" s="48">
        <v>14</v>
      </c>
      <c r="B141" s="49">
        <v>5.15</v>
      </c>
      <c r="C141" s="50">
        <v>48.26</v>
      </c>
      <c r="D141" s="48" t="s">
        <v>8</v>
      </c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2" spans="1:24" ht="15.75" customHeight="1">
      <c r="A142" s="48">
        <v>14</v>
      </c>
      <c r="B142" s="49">
        <v>7.95</v>
      </c>
      <c r="C142" s="50">
        <v>85.03</v>
      </c>
      <c r="D142" s="48" t="s">
        <v>8</v>
      </c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</row>
    <row r="143" spans="1:24" ht="15.75" customHeight="1">
      <c r="A143" s="48">
        <v>14</v>
      </c>
      <c r="B143" s="49">
        <v>7.18</v>
      </c>
      <c r="C143" s="50">
        <v>77.290000000000006</v>
      </c>
      <c r="D143" s="48" t="s">
        <v>8</v>
      </c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spans="1:24" ht="15.75" customHeight="1">
      <c r="A144" s="48">
        <v>14</v>
      </c>
      <c r="B144" s="49">
        <v>9.3800000000000008</v>
      </c>
      <c r="C144" s="50">
        <v>79.900000000000006</v>
      </c>
      <c r="D144" s="48" t="s">
        <v>9</v>
      </c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</row>
    <row r="145" spans="1:24" ht="15.75" customHeight="1">
      <c r="A145" s="48">
        <v>14</v>
      </c>
      <c r="B145" s="49">
        <v>8.1199999999999992</v>
      </c>
      <c r="C145" s="50">
        <v>35.380000000000003</v>
      </c>
      <c r="D145" s="48" t="s">
        <v>9</v>
      </c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</row>
    <row r="146" spans="1:24" ht="15.75" customHeight="1">
      <c r="A146" s="48">
        <v>14</v>
      </c>
      <c r="B146" s="49">
        <v>7.73</v>
      </c>
      <c r="C146" s="50">
        <v>66.22</v>
      </c>
      <c r="D146" s="48" t="s">
        <v>9</v>
      </c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</row>
    <row r="147" spans="1:24" ht="15.75" customHeight="1">
      <c r="A147" s="48">
        <v>14</v>
      </c>
      <c r="B147" s="49">
        <v>8.6</v>
      </c>
      <c r="C147" s="50">
        <v>84.49</v>
      </c>
      <c r="D147" s="48" t="s">
        <v>9</v>
      </c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</row>
    <row r="148" spans="1:24" ht="15.75" customHeight="1">
      <c r="A148" s="48">
        <v>14</v>
      </c>
      <c r="B148" s="49">
        <v>5.79</v>
      </c>
      <c r="C148" s="50">
        <v>43.41</v>
      </c>
      <c r="D148" s="48" t="s">
        <v>9</v>
      </c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</row>
    <row r="149" spans="1:24" ht="15.75" customHeight="1">
      <c r="A149" s="48">
        <v>14</v>
      </c>
      <c r="B149" s="49">
        <v>6.74</v>
      </c>
      <c r="C149" s="50">
        <v>79.67</v>
      </c>
      <c r="D149" s="48" t="s">
        <v>9</v>
      </c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</row>
    <row r="150" spans="1:24" ht="15.75" customHeight="1">
      <c r="A150" s="48">
        <v>14</v>
      </c>
      <c r="B150" s="49">
        <v>9.69</v>
      </c>
      <c r="C150" s="50">
        <v>82.07</v>
      </c>
      <c r="D150" s="48" t="s">
        <v>9</v>
      </c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</row>
    <row r="151" spans="1:24" ht="15.75" customHeight="1">
      <c r="A151" s="48">
        <v>14</v>
      </c>
      <c r="B151" s="49">
        <v>6.27</v>
      </c>
      <c r="C151" s="50">
        <v>78.2</v>
      </c>
      <c r="D151" s="48" t="s">
        <v>9</v>
      </c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</row>
    <row r="152" spans="1:24" ht="15.75" customHeight="1">
      <c r="A152" s="48">
        <v>14</v>
      </c>
      <c r="B152" s="49">
        <v>1.5</v>
      </c>
      <c r="C152" s="50">
        <v>34.97</v>
      </c>
      <c r="D152" s="48" t="s">
        <v>9</v>
      </c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</row>
    <row r="153" spans="1:24" ht="15.75" customHeight="1">
      <c r="A153" s="48">
        <v>14</v>
      </c>
      <c r="B153" s="49">
        <v>3.9</v>
      </c>
      <c r="C153" s="50">
        <v>27.84</v>
      </c>
      <c r="D153" s="48" t="s">
        <v>9</v>
      </c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</row>
    <row r="154" spans="1:24" ht="15.75" customHeight="1">
      <c r="A154" s="48">
        <v>15</v>
      </c>
      <c r="B154" s="49">
        <v>9.98</v>
      </c>
      <c r="C154" s="50">
        <v>48.26</v>
      </c>
      <c r="D154" s="48" t="s">
        <v>8</v>
      </c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</row>
    <row r="155" spans="1:24" ht="15.75" customHeight="1">
      <c r="A155" s="48">
        <v>15</v>
      </c>
      <c r="B155" s="49">
        <v>9.59</v>
      </c>
      <c r="C155" s="50">
        <v>48.26</v>
      </c>
      <c r="D155" s="48" t="s">
        <v>8</v>
      </c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</row>
    <row r="156" spans="1:24" ht="15.75" customHeight="1">
      <c r="A156" s="48">
        <v>15</v>
      </c>
      <c r="B156" s="49">
        <v>4.1399999999999997</v>
      </c>
      <c r="C156" s="50">
        <v>35.78</v>
      </c>
      <c r="D156" s="48" t="s">
        <v>8</v>
      </c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</row>
    <row r="157" spans="1:24" ht="15.75" customHeight="1">
      <c r="A157" s="48">
        <v>15</v>
      </c>
      <c r="B157" s="49">
        <v>8.98</v>
      </c>
      <c r="C157" s="50">
        <v>47.37</v>
      </c>
      <c r="D157" s="48" t="s">
        <v>9</v>
      </c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</row>
    <row r="158" spans="1:24" ht="15.75" customHeight="1">
      <c r="A158" s="48">
        <v>15</v>
      </c>
      <c r="B158" s="49">
        <v>9.25</v>
      </c>
      <c r="C158" s="50">
        <v>82.31</v>
      </c>
      <c r="D158" s="48" t="s">
        <v>9</v>
      </c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</row>
    <row r="159" spans="1:24" ht="15.75" customHeight="1">
      <c r="A159" s="48">
        <v>15</v>
      </c>
      <c r="B159" s="49">
        <v>4.96</v>
      </c>
      <c r="C159" s="50">
        <v>76.37</v>
      </c>
      <c r="D159" s="48" t="s">
        <v>9</v>
      </c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</row>
    <row r="160" spans="1:24" ht="15.75" customHeight="1">
      <c r="A160" s="48">
        <v>15</v>
      </c>
      <c r="B160" s="49">
        <v>9.69</v>
      </c>
      <c r="C160" s="50">
        <v>100.72</v>
      </c>
      <c r="D160" s="48" t="s">
        <v>9</v>
      </c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</row>
    <row r="161" spans="1:24" ht="15.75" customHeight="1">
      <c r="A161" s="48">
        <v>15</v>
      </c>
      <c r="B161" s="49">
        <v>9.5299999999999994</v>
      </c>
      <c r="C161" s="50">
        <v>73.02</v>
      </c>
      <c r="D161" s="48" t="s">
        <v>9</v>
      </c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</row>
    <row r="162" spans="1:24" ht="15.75" customHeight="1">
      <c r="A162" s="48">
        <v>15</v>
      </c>
      <c r="B162" s="49">
        <v>5.35</v>
      </c>
      <c r="C162" s="50">
        <v>43.32</v>
      </c>
      <c r="D162" s="48" t="s">
        <v>9</v>
      </c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spans="1:24" ht="15.75" customHeight="1">
      <c r="A163" s="48">
        <v>15</v>
      </c>
      <c r="B163" s="49">
        <v>6.65</v>
      </c>
      <c r="C163" s="50">
        <v>54.56</v>
      </c>
      <c r="D163" s="48" t="s">
        <v>9</v>
      </c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4" spans="1:24" ht="15.75" customHeight="1">
      <c r="A164" s="48">
        <v>15</v>
      </c>
      <c r="B164" s="49">
        <v>7.42</v>
      </c>
      <c r="C164" s="50">
        <v>53.4</v>
      </c>
      <c r="D164" s="48" t="s">
        <v>9</v>
      </c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</row>
    <row r="165" spans="1:24" ht="15.75" customHeight="1">
      <c r="A165" s="48">
        <v>15</v>
      </c>
      <c r="B165" s="49">
        <v>4.62</v>
      </c>
      <c r="C165" s="50">
        <v>65.36</v>
      </c>
      <c r="D165" s="48" t="s">
        <v>9</v>
      </c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spans="1:24" ht="15.75" customHeight="1">
      <c r="A166" s="48">
        <v>15</v>
      </c>
      <c r="B166" s="49">
        <v>5.59</v>
      </c>
      <c r="C166" s="50">
        <v>68.12</v>
      </c>
      <c r="D166" s="48" t="s">
        <v>9</v>
      </c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</row>
    <row r="167" spans="1:24" ht="15.75" customHeight="1">
      <c r="A167" s="48">
        <v>15</v>
      </c>
      <c r="B167" s="49">
        <v>2.6</v>
      </c>
      <c r="C167" s="50">
        <v>9.8000000000000007</v>
      </c>
      <c r="D167" s="48" t="s">
        <v>9</v>
      </c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</row>
    <row r="168" spans="1:24" ht="15.75" customHeight="1">
      <c r="A168" s="48">
        <v>15</v>
      </c>
      <c r="B168" s="49">
        <v>12.6</v>
      </c>
      <c r="C168" s="50">
        <v>120.86</v>
      </c>
      <c r="D168" s="48" t="s">
        <v>9</v>
      </c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</row>
    <row r="169" spans="1:24" ht="15.75" customHeight="1">
      <c r="A169" s="48">
        <v>15</v>
      </c>
      <c r="B169" s="49">
        <v>10.9</v>
      </c>
      <c r="C169" s="50">
        <v>77.13</v>
      </c>
      <c r="D169" s="48" t="s">
        <v>9</v>
      </c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</row>
    <row r="170" spans="1:24" ht="15.75" customHeight="1">
      <c r="A170" s="48">
        <v>16</v>
      </c>
      <c r="B170" s="49">
        <v>5.22</v>
      </c>
      <c r="C170" s="50">
        <v>48.26</v>
      </c>
      <c r="D170" s="48" t="s">
        <v>8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</row>
    <row r="171" spans="1:24" ht="15.75" customHeight="1">
      <c r="A171" s="48">
        <v>16</v>
      </c>
      <c r="B171" s="49">
        <v>5.91</v>
      </c>
      <c r="C171" s="50">
        <v>48.26</v>
      </c>
      <c r="D171" s="48" t="s">
        <v>8</v>
      </c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</row>
    <row r="172" spans="1:24" ht="15.75" customHeight="1">
      <c r="A172" s="48">
        <v>16</v>
      </c>
      <c r="B172" s="49">
        <v>9.15</v>
      </c>
      <c r="C172" s="50">
        <v>48.26</v>
      </c>
      <c r="D172" s="48" t="s">
        <v>8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</row>
    <row r="173" spans="1:24" ht="15.75" customHeight="1">
      <c r="A173" s="48">
        <v>16</v>
      </c>
      <c r="B173" s="49">
        <v>4.34</v>
      </c>
      <c r="C173" s="50">
        <v>48.26</v>
      </c>
      <c r="D173" s="48" t="s">
        <v>8</v>
      </c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</row>
    <row r="174" spans="1:24" ht="15.75" customHeight="1">
      <c r="A174" s="48">
        <v>16</v>
      </c>
      <c r="B174" s="49">
        <v>9.65</v>
      </c>
      <c r="C174" s="50">
        <v>53.41</v>
      </c>
      <c r="D174" s="48" t="s">
        <v>8</v>
      </c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</row>
    <row r="175" spans="1:24" ht="15.75" customHeight="1">
      <c r="A175" s="48">
        <v>16</v>
      </c>
      <c r="B175" s="49">
        <v>8.2899999999999991</v>
      </c>
      <c r="C175" s="50">
        <v>115.29</v>
      </c>
      <c r="D175" s="48" t="s">
        <v>8</v>
      </c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</row>
    <row r="176" spans="1:24" ht="15.75" customHeight="1">
      <c r="A176" s="48">
        <v>16</v>
      </c>
      <c r="B176" s="49">
        <v>9.99</v>
      </c>
      <c r="C176" s="50">
        <v>64.83</v>
      </c>
      <c r="D176" s="48" t="s">
        <v>9</v>
      </c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</row>
    <row r="177" spans="1:24" ht="15.75" customHeight="1">
      <c r="A177" s="48">
        <v>16</v>
      </c>
      <c r="B177" s="49">
        <v>9.0399999999999991</v>
      </c>
      <c r="C177" s="50">
        <v>89.08</v>
      </c>
      <c r="D177" s="48" t="s">
        <v>9</v>
      </c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</row>
    <row r="178" spans="1:24" ht="15.75" customHeight="1">
      <c r="A178" s="48">
        <v>16</v>
      </c>
      <c r="B178" s="49">
        <v>6.49</v>
      </c>
      <c r="C178" s="50">
        <v>63.52</v>
      </c>
      <c r="D178" s="48" t="s">
        <v>9</v>
      </c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</row>
    <row r="179" spans="1:24" ht="15.75" customHeight="1">
      <c r="A179" s="48">
        <v>16</v>
      </c>
      <c r="B179" s="49">
        <v>9.3800000000000008</v>
      </c>
      <c r="C179" s="50">
        <v>90.42</v>
      </c>
      <c r="D179" s="48" t="s">
        <v>9</v>
      </c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</row>
    <row r="180" spans="1:24" ht="15.75" customHeight="1">
      <c r="A180" s="48">
        <v>16</v>
      </c>
      <c r="B180" s="49">
        <v>6.66</v>
      </c>
      <c r="C180" s="50">
        <v>55.42</v>
      </c>
      <c r="D180" s="48" t="s">
        <v>9</v>
      </c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</row>
    <row r="181" spans="1:24" ht="15.75" customHeight="1">
      <c r="A181" s="48">
        <v>16</v>
      </c>
      <c r="B181" s="49">
        <v>8.74</v>
      </c>
      <c r="C181" s="50">
        <v>83.38</v>
      </c>
      <c r="D181" s="48" t="s">
        <v>9</v>
      </c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</row>
    <row r="182" spans="1:24" ht="15.75" customHeight="1">
      <c r="A182" s="48">
        <v>16</v>
      </c>
      <c r="B182" s="49">
        <v>2.8</v>
      </c>
      <c r="C182" s="50">
        <v>63</v>
      </c>
      <c r="D182" s="48" t="s">
        <v>9</v>
      </c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</row>
    <row r="183" spans="1:24" ht="15.75" customHeight="1">
      <c r="A183" s="48">
        <v>16</v>
      </c>
      <c r="B183" s="49">
        <v>11.9</v>
      </c>
      <c r="C183" s="50">
        <v>79.23</v>
      </c>
      <c r="D183" s="48" t="s">
        <v>9</v>
      </c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</row>
    <row r="184" spans="1:24" ht="15.75" customHeight="1">
      <c r="A184" s="48">
        <v>17</v>
      </c>
      <c r="B184" s="49">
        <v>6.06</v>
      </c>
      <c r="C184" s="50">
        <v>48.26</v>
      </c>
      <c r="D184" s="48" t="s">
        <v>8</v>
      </c>
      <c r="E184" s="51"/>
      <c r="F184" s="51" t="s">
        <v>26</v>
      </c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spans="1:24" ht="15.75" customHeight="1">
      <c r="A185" s="48">
        <v>17</v>
      </c>
      <c r="B185" s="49">
        <v>5.35</v>
      </c>
      <c r="C185" s="50">
        <v>40.880000000000003</v>
      </c>
      <c r="D185" s="48" t="s">
        <v>8</v>
      </c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6" spans="1:24" ht="15.75" customHeight="1">
      <c r="A186" s="48">
        <v>17</v>
      </c>
      <c r="B186" s="49">
        <v>9.0500000000000007</v>
      </c>
      <c r="C186" s="50">
        <v>29.32</v>
      </c>
      <c r="D186" s="48" t="s">
        <v>8</v>
      </c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</row>
    <row r="187" spans="1:24" ht="15.75" customHeight="1">
      <c r="A187" s="48">
        <v>17</v>
      </c>
      <c r="B187" s="49">
        <v>9.66</v>
      </c>
      <c r="C187" s="50">
        <v>55.39</v>
      </c>
      <c r="D187" s="48" t="s">
        <v>9</v>
      </c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spans="1:24" ht="15.75" customHeight="1">
      <c r="A188" s="48">
        <v>17</v>
      </c>
      <c r="B188" s="49">
        <v>9.17</v>
      </c>
      <c r="C188" s="50">
        <v>59.62</v>
      </c>
      <c r="D188" s="48" t="s">
        <v>9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</row>
    <row r="189" spans="1:24" ht="15.75" customHeight="1">
      <c r="A189" s="48">
        <v>17</v>
      </c>
      <c r="B189" s="49">
        <v>5.24</v>
      </c>
      <c r="C189" s="50">
        <v>42.46</v>
      </c>
      <c r="D189" s="48" t="s">
        <v>9</v>
      </c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</row>
    <row r="190" spans="1:24" ht="15.75" customHeight="1">
      <c r="A190" s="48">
        <v>17</v>
      </c>
      <c r="B190" s="49">
        <v>7.7</v>
      </c>
      <c r="C190" s="50">
        <v>61.02</v>
      </c>
      <c r="D190" s="48" t="s">
        <v>9</v>
      </c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</row>
    <row r="191" spans="1:24" ht="15.75" customHeight="1">
      <c r="A191" s="48">
        <v>17</v>
      </c>
      <c r="B191" s="49">
        <v>6.05</v>
      </c>
      <c r="C191" s="50">
        <v>67.25</v>
      </c>
      <c r="D191" s="48" t="s">
        <v>9</v>
      </c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</row>
    <row r="192" spans="1:24" ht="15.75" customHeight="1">
      <c r="A192" s="48">
        <v>17</v>
      </c>
      <c r="B192" s="49">
        <v>5.99</v>
      </c>
      <c r="C192" s="50">
        <v>80.13</v>
      </c>
      <c r="D192" s="48" t="s">
        <v>9</v>
      </c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</row>
    <row r="193" spans="1:24" ht="15.75" customHeight="1">
      <c r="A193" s="48">
        <v>17</v>
      </c>
      <c r="B193" s="49">
        <v>7.93</v>
      </c>
      <c r="C193" s="50">
        <v>61.63</v>
      </c>
      <c r="D193" s="48" t="s">
        <v>9</v>
      </c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</row>
    <row r="194" spans="1:24" ht="15.75" customHeight="1">
      <c r="A194" s="48">
        <v>17</v>
      </c>
      <c r="B194" s="49">
        <v>9.1</v>
      </c>
      <c r="C194" s="50">
        <v>52.07</v>
      </c>
      <c r="D194" s="48" t="s">
        <v>9</v>
      </c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</row>
    <row r="195" spans="1:24" ht="15.75" customHeight="1">
      <c r="A195" s="48">
        <v>17</v>
      </c>
      <c r="B195" s="49">
        <v>6.91</v>
      </c>
      <c r="C195" s="50">
        <v>52.93</v>
      </c>
      <c r="D195" s="48" t="s">
        <v>9</v>
      </c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</row>
    <row r="196" spans="1:24" ht="15.75" customHeight="1">
      <c r="A196" s="48">
        <v>17</v>
      </c>
      <c r="B196" s="49">
        <v>2</v>
      </c>
      <c r="C196" s="50">
        <v>29.17</v>
      </c>
      <c r="D196" s="48" t="s">
        <v>9</v>
      </c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</row>
    <row r="197" spans="1:24" ht="15.75" customHeight="1">
      <c r="A197" s="48">
        <v>17</v>
      </c>
      <c r="B197" s="49">
        <v>10.199999999999999</v>
      </c>
      <c r="C197" s="50">
        <v>45.79</v>
      </c>
      <c r="D197" s="48" t="s">
        <v>9</v>
      </c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</row>
    <row r="198" spans="1:24" ht="15.75" customHeight="1">
      <c r="A198" s="48">
        <v>17</v>
      </c>
      <c r="B198" s="49">
        <v>10</v>
      </c>
      <c r="C198" s="50">
        <v>88.16</v>
      </c>
      <c r="D198" s="48" t="s">
        <v>9</v>
      </c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</row>
    <row r="199" spans="1:24" ht="15.75" customHeight="1">
      <c r="A199" s="48">
        <v>17</v>
      </c>
      <c r="B199" s="49">
        <v>10.1</v>
      </c>
      <c r="C199" s="50">
        <v>87.63</v>
      </c>
      <c r="D199" s="48" t="s">
        <v>9</v>
      </c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</row>
    <row r="200" spans="1:24" ht="15.75" customHeight="1">
      <c r="A200" s="48">
        <v>18</v>
      </c>
      <c r="B200" s="49">
        <v>8.39</v>
      </c>
      <c r="C200" s="50">
        <v>48.26</v>
      </c>
      <c r="D200" s="48" t="s">
        <v>8</v>
      </c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</row>
    <row r="201" spans="1:24" ht="15.75" customHeight="1">
      <c r="A201" s="48">
        <v>18</v>
      </c>
      <c r="B201" s="49">
        <v>9.1999999999999993</v>
      </c>
      <c r="C201" s="50">
        <v>48.26</v>
      </c>
      <c r="D201" s="48" t="s">
        <v>8</v>
      </c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</row>
    <row r="202" spans="1:24" ht="15.75" customHeight="1">
      <c r="A202" s="48">
        <v>18</v>
      </c>
      <c r="B202" s="49">
        <v>8.1</v>
      </c>
      <c r="C202" s="50">
        <v>48.26</v>
      </c>
      <c r="D202" s="48" t="s">
        <v>8</v>
      </c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</row>
    <row r="203" spans="1:24" ht="15.75" customHeight="1">
      <c r="A203" s="48">
        <v>18</v>
      </c>
      <c r="B203" s="49">
        <v>6.06</v>
      </c>
      <c r="C203" s="50">
        <v>48.26</v>
      </c>
      <c r="D203" s="48" t="s">
        <v>8</v>
      </c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</row>
    <row r="204" spans="1:24" ht="15.75" customHeight="1">
      <c r="A204" s="48">
        <v>18</v>
      </c>
      <c r="B204" s="49">
        <v>9.99</v>
      </c>
      <c r="C204" s="50">
        <v>48.26</v>
      </c>
      <c r="D204" s="48" t="s">
        <v>8</v>
      </c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</row>
    <row r="205" spans="1:24" ht="15.75" customHeight="1">
      <c r="A205" s="48">
        <v>18</v>
      </c>
      <c r="B205" s="49">
        <v>5.66</v>
      </c>
      <c r="C205" s="50">
        <v>48.26</v>
      </c>
      <c r="D205" s="48" t="s">
        <v>8</v>
      </c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</row>
    <row r="206" spans="1:24" ht="15.75" customHeight="1">
      <c r="A206" s="48">
        <v>18</v>
      </c>
      <c r="B206" s="49">
        <v>7.54</v>
      </c>
      <c r="C206" s="50">
        <v>75.03</v>
      </c>
      <c r="D206" s="48" t="s">
        <v>8</v>
      </c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spans="1:24" ht="15.75" customHeight="1">
      <c r="A207" s="48">
        <v>18</v>
      </c>
      <c r="B207" s="49">
        <v>4.3</v>
      </c>
      <c r="C207" s="50">
        <v>52.51</v>
      </c>
      <c r="D207" s="48" t="s">
        <v>8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spans="1:24" ht="15.75" customHeight="1">
      <c r="A208" s="48">
        <v>18</v>
      </c>
      <c r="B208" s="49">
        <v>7.57</v>
      </c>
      <c r="C208" s="50">
        <v>73.78</v>
      </c>
      <c r="D208" s="48" t="s">
        <v>9</v>
      </c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09" spans="1:24" ht="15.75" customHeight="1">
      <c r="A209" s="48">
        <v>18</v>
      </c>
      <c r="B209" s="49">
        <v>6.84</v>
      </c>
      <c r="C209" s="50">
        <v>81.88</v>
      </c>
      <c r="D209" s="48" t="s">
        <v>9</v>
      </c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</row>
    <row r="210" spans="1:24" ht="15.75" customHeight="1">
      <c r="A210" s="48">
        <v>18</v>
      </c>
      <c r="B210" s="49">
        <v>4.0199999999999996</v>
      </c>
      <c r="C210" s="50">
        <v>70</v>
      </c>
      <c r="D210" s="48" t="s">
        <v>9</v>
      </c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</row>
    <row r="211" spans="1:24" ht="15.75" customHeight="1">
      <c r="A211" s="48">
        <v>18</v>
      </c>
      <c r="B211" s="49">
        <v>7.31</v>
      </c>
      <c r="C211" s="50">
        <v>53.57</v>
      </c>
      <c r="D211" s="48" t="s">
        <v>9</v>
      </c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</row>
    <row r="212" spans="1:24" ht="15.75" customHeight="1">
      <c r="A212" s="48">
        <v>18</v>
      </c>
      <c r="B212" s="49">
        <v>6.54</v>
      </c>
      <c r="C212" s="50">
        <v>60.5</v>
      </c>
      <c r="D212" s="48" t="s">
        <v>9</v>
      </c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</row>
    <row r="213" spans="1:24" ht="15.75" customHeight="1">
      <c r="A213" s="48">
        <v>18</v>
      </c>
      <c r="B213" s="49">
        <v>2.6</v>
      </c>
      <c r="C213" s="50">
        <v>42.51</v>
      </c>
      <c r="D213" s="48" t="s">
        <v>9</v>
      </c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</row>
    <row r="214" spans="1:24" ht="15.75" customHeight="1">
      <c r="A214" s="48">
        <v>18</v>
      </c>
      <c r="B214" s="49">
        <v>11.1</v>
      </c>
      <c r="C214" s="50">
        <v>100.82</v>
      </c>
      <c r="D214" s="48" t="s">
        <v>9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</row>
    <row r="215" spans="1:24" ht="15.75" customHeight="1">
      <c r="A215" s="48">
        <v>19</v>
      </c>
      <c r="B215" s="49">
        <v>6.57</v>
      </c>
      <c r="C215" s="50">
        <v>48.26</v>
      </c>
      <c r="D215" s="48" t="s">
        <v>8</v>
      </c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</row>
    <row r="216" spans="1:24" ht="15.75" customHeight="1">
      <c r="A216" s="48">
        <v>19</v>
      </c>
      <c r="B216" s="49">
        <v>7.59</v>
      </c>
      <c r="C216" s="50">
        <v>48.26</v>
      </c>
      <c r="D216" s="48" t="s">
        <v>8</v>
      </c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</row>
    <row r="217" spans="1:24" ht="15.75" customHeight="1">
      <c r="A217" s="48">
        <v>19</v>
      </c>
      <c r="B217" s="49">
        <v>5.0999999999999996</v>
      </c>
      <c r="C217" s="50">
        <v>48.26</v>
      </c>
      <c r="D217" s="48" t="s">
        <v>8</v>
      </c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</row>
    <row r="218" spans="1:24" ht="15.75" customHeight="1">
      <c r="A218" s="48">
        <v>19</v>
      </c>
      <c r="B218" s="49">
        <v>7.3</v>
      </c>
      <c r="C218" s="50">
        <v>66.13</v>
      </c>
      <c r="D218" s="48" t="s">
        <v>9</v>
      </c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</row>
    <row r="219" spans="1:24" ht="15.75" customHeight="1">
      <c r="A219" s="48">
        <v>19</v>
      </c>
      <c r="B219" s="49">
        <v>6.41</v>
      </c>
      <c r="C219" s="50">
        <v>26.77</v>
      </c>
      <c r="D219" s="48" t="s">
        <v>9</v>
      </c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</row>
    <row r="220" spans="1:24" ht="15.75" customHeight="1">
      <c r="A220" s="48">
        <v>19</v>
      </c>
      <c r="B220" s="49">
        <v>7.79</v>
      </c>
      <c r="C220" s="50">
        <v>34.770000000000003</v>
      </c>
      <c r="D220" s="48" t="s">
        <v>9</v>
      </c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</row>
    <row r="221" spans="1:24" ht="15.75" customHeight="1">
      <c r="A221" s="48">
        <v>19</v>
      </c>
      <c r="B221" s="49">
        <v>6.22</v>
      </c>
      <c r="C221" s="50">
        <v>33.18</v>
      </c>
      <c r="D221" s="48" t="s">
        <v>9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</row>
    <row r="222" spans="1:24" ht="15.75" customHeight="1">
      <c r="A222" s="48">
        <v>19</v>
      </c>
      <c r="B222" s="49">
        <v>7.73</v>
      </c>
      <c r="C222" s="50">
        <v>75.430000000000007</v>
      </c>
      <c r="D222" s="48" t="s">
        <v>9</v>
      </c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</row>
    <row r="223" spans="1:24" ht="15.75" customHeight="1">
      <c r="A223" s="48">
        <v>19</v>
      </c>
      <c r="B223" s="49">
        <v>4.12</v>
      </c>
      <c r="C223" s="50">
        <v>37.869999999999997</v>
      </c>
      <c r="D223" s="48" t="s">
        <v>9</v>
      </c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</row>
    <row r="224" spans="1:24" ht="15.75" customHeight="1">
      <c r="A224" s="48">
        <v>19</v>
      </c>
      <c r="B224" s="49">
        <v>8.7799999999999994</v>
      </c>
      <c r="C224" s="50">
        <v>61.87</v>
      </c>
      <c r="D224" s="48" t="s">
        <v>9</v>
      </c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</row>
    <row r="225" spans="1:24" ht="15.75" customHeight="1">
      <c r="A225" s="48">
        <v>19</v>
      </c>
      <c r="B225" s="49">
        <v>3.8</v>
      </c>
      <c r="C225" s="50">
        <v>50.34</v>
      </c>
      <c r="D225" s="48" t="s">
        <v>9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</row>
    <row r="226" spans="1:24" ht="15.75" customHeight="1">
      <c r="A226" s="48">
        <v>19</v>
      </c>
      <c r="B226" s="49">
        <v>2.9</v>
      </c>
      <c r="C226" s="50">
        <v>31.65</v>
      </c>
      <c r="D226" s="48" t="s">
        <v>9</v>
      </c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</row>
    <row r="227" spans="1:24" ht="15.75" customHeight="1">
      <c r="A227" s="48">
        <v>19</v>
      </c>
      <c r="B227" s="49">
        <v>3.8</v>
      </c>
      <c r="C227" s="50">
        <v>23.5</v>
      </c>
      <c r="D227" s="48" t="s">
        <v>9</v>
      </c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</row>
    <row r="228" spans="1:24" ht="15.75" customHeight="1">
      <c r="A228" s="48">
        <v>19</v>
      </c>
      <c r="B228" s="49">
        <v>12.7</v>
      </c>
      <c r="C228" s="50">
        <v>89.68</v>
      </c>
      <c r="D228" s="48" t="s">
        <v>9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</row>
    <row r="229" spans="1:24" ht="15.75" customHeight="1">
      <c r="A229" s="48">
        <v>20</v>
      </c>
      <c r="B229" s="49">
        <v>6.41</v>
      </c>
      <c r="C229" s="50">
        <v>48.26</v>
      </c>
      <c r="D229" s="48" t="s">
        <v>8</v>
      </c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</row>
    <row r="230" spans="1:24" ht="15.75" customHeight="1">
      <c r="A230" s="48">
        <v>20</v>
      </c>
      <c r="B230" s="49">
        <v>8.31</v>
      </c>
      <c r="C230" s="50">
        <v>48.26</v>
      </c>
      <c r="D230" s="48" t="s">
        <v>8</v>
      </c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</row>
    <row r="231" spans="1:24" ht="15.75" customHeight="1">
      <c r="A231" s="48">
        <v>20</v>
      </c>
      <c r="B231" s="49">
        <v>7.31</v>
      </c>
      <c r="C231" s="50">
        <v>48.26</v>
      </c>
      <c r="D231" s="48" t="s">
        <v>8</v>
      </c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</row>
    <row r="232" spans="1:24" ht="15.75" customHeight="1">
      <c r="A232" s="48">
        <v>20</v>
      </c>
      <c r="B232" s="49">
        <v>5.93</v>
      </c>
      <c r="C232" s="50">
        <v>48.26</v>
      </c>
      <c r="D232" s="48" t="s">
        <v>8</v>
      </c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</row>
    <row r="233" spans="1:24" ht="15.75" customHeight="1">
      <c r="A233" s="48">
        <v>20</v>
      </c>
      <c r="B233" s="49">
        <v>9.0299999999999994</v>
      </c>
      <c r="C233" s="50">
        <v>48.26</v>
      </c>
      <c r="D233" s="48" t="s">
        <v>8</v>
      </c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</row>
    <row r="234" spans="1:24" ht="15.75" customHeight="1">
      <c r="A234" s="48">
        <v>20</v>
      </c>
      <c r="B234" s="49">
        <v>7.36</v>
      </c>
      <c r="C234" s="50">
        <v>80.430000000000007</v>
      </c>
      <c r="D234" s="48" t="s">
        <v>8</v>
      </c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</row>
    <row r="235" spans="1:24" ht="15.75" customHeight="1">
      <c r="A235" s="48">
        <v>20</v>
      </c>
      <c r="B235" s="49">
        <v>7.69</v>
      </c>
      <c r="C235" s="50">
        <v>57.42</v>
      </c>
      <c r="D235" s="48" t="s">
        <v>9</v>
      </c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</row>
    <row r="236" spans="1:24" ht="15.75" customHeight="1">
      <c r="A236" s="48">
        <v>20</v>
      </c>
      <c r="B236" s="49">
        <v>5.88</v>
      </c>
      <c r="C236" s="50">
        <v>63.1</v>
      </c>
      <c r="D236" s="48" t="s">
        <v>9</v>
      </c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</row>
    <row r="237" spans="1:24" ht="15.75" customHeight="1">
      <c r="A237" s="48">
        <v>20</v>
      </c>
      <c r="B237" s="49">
        <v>6.68</v>
      </c>
      <c r="C237" s="50">
        <v>74.41</v>
      </c>
      <c r="D237" s="48" t="s">
        <v>9</v>
      </c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</row>
    <row r="238" spans="1:24" ht="15.75" customHeight="1">
      <c r="A238" s="48">
        <v>20</v>
      </c>
      <c r="B238" s="49">
        <v>4.78</v>
      </c>
      <c r="C238" s="50">
        <v>76.27</v>
      </c>
      <c r="D238" s="48" t="s">
        <v>9</v>
      </c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</row>
    <row r="239" spans="1:24" ht="15.75" customHeight="1">
      <c r="A239" s="48">
        <v>20</v>
      </c>
      <c r="B239" s="49">
        <v>5.0999999999999996</v>
      </c>
      <c r="C239" s="50">
        <v>58.17</v>
      </c>
      <c r="D239" s="48" t="s">
        <v>9</v>
      </c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</row>
    <row r="240" spans="1:24" ht="15.75" customHeight="1">
      <c r="A240" s="48">
        <v>20</v>
      </c>
      <c r="B240" s="49">
        <v>8.35</v>
      </c>
      <c r="C240" s="50">
        <v>41.23</v>
      </c>
      <c r="D240" s="48" t="s">
        <v>9</v>
      </c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</row>
    <row r="241" spans="1:24" ht="15.75" customHeight="1">
      <c r="A241" s="48">
        <v>20</v>
      </c>
      <c r="B241" s="49">
        <v>7.84</v>
      </c>
      <c r="C241" s="50">
        <v>63.91</v>
      </c>
      <c r="D241" s="48" t="s">
        <v>9</v>
      </c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</row>
    <row r="242" spans="1:24" ht="15.75" customHeight="1">
      <c r="A242" s="48">
        <v>20</v>
      </c>
      <c r="B242" s="49">
        <v>6.75</v>
      </c>
      <c r="C242" s="50">
        <v>79.989999999999995</v>
      </c>
      <c r="D242" s="48" t="s">
        <v>9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</row>
    <row r="243" spans="1:24" ht="15.75" customHeight="1">
      <c r="A243" s="48">
        <v>20</v>
      </c>
      <c r="B243" s="49">
        <v>4.46</v>
      </c>
      <c r="C243" s="50">
        <v>34.049999999999997</v>
      </c>
      <c r="D243" s="48" t="s">
        <v>9</v>
      </c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</row>
    <row r="244" spans="1:24" ht="15.75" customHeight="1">
      <c r="A244" s="48">
        <v>20</v>
      </c>
      <c r="B244" s="49">
        <v>7.97</v>
      </c>
      <c r="C244" s="50">
        <v>104.75</v>
      </c>
      <c r="D244" s="48" t="s">
        <v>9</v>
      </c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</row>
    <row r="245" spans="1:24" ht="15.75" customHeight="1">
      <c r="A245" s="48">
        <v>20</v>
      </c>
      <c r="B245" s="49">
        <v>3</v>
      </c>
      <c r="C245" s="50">
        <v>30.68</v>
      </c>
      <c r="D245" s="48" t="s">
        <v>9</v>
      </c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</row>
    <row r="246" spans="1:24" ht="15.75" customHeight="1">
      <c r="A246" s="48">
        <v>20</v>
      </c>
      <c r="B246" s="49">
        <v>11.9</v>
      </c>
      <c r="C246" s="50">
        <v>95.17</v>
      </c>
      <c r="D246" s="48" t="s">
        <v>9</v>
      </c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</row>
    <row r="247" spans="1:24" ht="15.75" customHeight="1">
      <c r="A247" s="48">
        <v>21</v>
      </c>
      <c r="B247" s="49">
        <v>7.27</v>
      </c>
      <c r="C247" s="50">
        <v>64.69</v>
      </c>
      <c r="D247" s="48" t="s">
        <v>9</v>
      </c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</row>
    <row r="248" spans="1:24" ht="15.75" customHeight="1">
      <c r="A248" s="48">
        <v>21</v>
      </c>
      <c r="B248" s="49">
        <v>4.2</v>
      </c>
      <c r="C248" s="50">
        <v>44.29</v>
      </c>
      <c r="D248" s="48" t="s">
        <v>9</v>
      </c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</row>
    <row r="249" spans="1:24" ht="15.75" customHeight="1">
      <c r="A249" s="48">
        <v>21</v>
      </c>
      <c r="B249" s="49">
        <v>7.87</v>
      </c>
      <c r="C249" s="50">
        <v>55.21</v>
      </c>
      <c r="D249" s="48" t="s">
        <v>9</v>
      </c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</row>
    <row r="250" spans="1:24" ht="15.75" customHeight="1">
      <c r="A250" s="48">
        <v>21</v>
      </c>
      <c r="B250" s="49">
        <v>9.15</v>
      </c>
      <c r="C250" s="50">
        <v>78.58</v>
      </c>
      <c r="D250" s="48" t="s">
        <v>9</v>
      </c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</row>
    <row r="251" spans="1:24" ht="15.75" customHeight="1">
      <c r="A251" s="48">
        <v>21</v>
      </c>
      <c r="B251" s="49">
        <v>9.58</v>
      </c>
      <c r="C251" s="50">
        <v>57.83</v>
      </c>
      <c r="D251" s="48" t="s">
        <v>9</v>
      </c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</row>
    <row r="252" spans="1:24" ht="15.75" customHeight="1">
      <c r="A252" s="48">
        <v>21</v>
      </c>
      <c r="B252" s="49">
        <v>6.16</v>
      </c>
      <c r="C252" s="50">
        <v>43.75</v>
      </c>
      <c r="D252" s="48" t="s">
        <v>9</v>
      </c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</row>
    <row r="253" spans="1:24" ht="15.75" customHeight="1">
      <c r="A253" s="48">
        <v>21</v>
      </c>
      <c r="B253" s="49">
        <v>6.65</v>
      </c>
      <c r="C253" s="50">
        <v>62.98</v>
      </c>
      <c r="D253" s="48" t="s">
        <v>9</v>
      </c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</row>
    <row r="254" spans="1:24" ht="15.75" customHeight="1">
      <c r="A254" s="48">
        <v>21</v>
      </c>
      <c r="B254" s="49">
        <v>9.5299999999999994</v>
      </c>
      <c r="C254" s="50">
        <v>57.6</v>
      </c>
      <c r="D254" s="48" t="s">
        <v>9</v>
      </c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</row>
    <row r="255" spans="1:24" ht="15.75" customHeight="1">
      <c r="A255" s="48">
        <v>21</v>
      </c>
      <c r="B255" s="49">
        <v>1.5</v>
      </c>
      <c r="C255" s="50">
        <v>23.33</v>
      </c>
      <c r="D255" s="48" t="s">
        <v>9</v>
      </c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</row>
    <row r="256" spans="1:24" ht="15.75" customHeight="1">
      <c r="A256" s="48">
        <v>21</v>
      </c>
      <c r="B256" s="49">
        <v>10.6</v>
      </c>
      <c r="C256" s="50">
        <v>85.37</v>
      </c>
      <c r="D256" s="48" t="s">
        <v>9</v>
      </c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</row>
    <row r="257" spans="1:24" ht="15.75" customHeight="1">
      <c r="A257" s="48">
        <v>22</v>
      </c>
      <c r="B257" s="49">
        <v>4.1500000000000004</v>
      </c>
      <c r="C257" s="50">
        <v>48.26</v>
      </c>
      <c r="D257" s="48" t="s">
        <v>8</v>
      </c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</row>
    <row r="258" spans="1:24" ht="15.75" customHeight="1">
      <c r="A258" s="48">
        <v>22</v>
      </c>
      <c r="B258" s="49">
        <v>9.8699999999999992</v>
      </c>
      <c r="C258" s="50">
        <v>48.26</v>
      </c>
      <c r="D258" s="48" t="s">
        <v>8</v>
      </c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</row>
    <row r="259" spans="1:24" ht="15.75" customHeight="1">
      <c r="A259" s="48">
        <v>22</v>
      </c>
      <c r="B259" s="49">
        <v>8.7200000000000006</v>
      </c>
      <c r="C259" s="50">
        <v>48.26</v>
      </c>
      <c r="D259" s="48" t="s">
        <v>8</v>
      </c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</row>
    <row r="260" spans="1:24" ht="15.75" customHeight="1">
      <c r="A260" s="48">
        <v>22</v>
      </c>
      <c r="B260" s="49">
        <v>4.38</v>
      </c>
      <c r="C260" s="50">
        <v>43.95</v>
      </c>
      <c r="D260" s="48" t="s">
        <v>8</v>
      </c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</row>
    <row r="261" spans="1:24" ht="15.75" customHeight="1">
      <c r="A261" s="48">
        <v>22</v>
      </c>
      <c r="B261" s="49">
        <v>5.7</v>
      </c>
      <c r="C261" s="50">
        <v>49.24</v>
      </c>
      <c r="D261" s="48" t="s">
        <v>8</v>
      </c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</row>
    <row r="262" spans="1:24" ht="15.75" customHeight="1">
      <c r="A262" s="48">
        <v>22</v>
      </c>
      <c r="B262" s="49">
        <v>7.66</v>
      </c>
      <c r="C262" s="50">
        <v>69.86</v>
      </c>
      <c r="D262" s="48" t="s">
        <v>9</v>
      </c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</row>
    <row r="263" spans="1:24" ht="15.75" customHeight="1">
      <c r="A263" s="48">
        <v>22</v>
      </c>
      <c r="B263" s="49">
        <v>6.09</v>
      </c>
      <c r="C263" s="50">
        <v>55.31</v>
      </c>
      <c r="D263" s="48" t="s">
        <v>9</v>
      </c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</row>
    <row r="264" spans="1:24" ht="15.75" customHeight="1">
      <c r="A264" s="48">
        <v>22</v>
      </c>
      <c r="B264" s="49">
        <v>5.05</v>
      </c>
      <c r="C264" s="50">
        <v>45.65</v>
      </c>
      <c r="D264" s="48" t="s">
        <v>9</v>
      </c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</row>
    <row r="265" spans="1:24" ht="15.75" customHeight="1">
      <c r="A265" s="48">
        <v>22</v>
      </c>
      <c r="B265" s="49">
        <v>9.1999999999999993</v>
      </c>
      <c r="C265" s="50">
        <v>72.510000000000005</v>
      </c>
      <c r="D265" s="48" t="s">
        <v>9</v>
      </c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</row>
    <row r="266" spans="1:24" ht="15.75" customHeight="1">
      <c r="A266" s="48">
        <v>22</v>
      </c>
      <c r="B266" s="49">
        <v>8.1</v>
      </c>
      <c r="C266" s="50">
        <v>65.84</v>
      </c>
      <c r="D266" s="48" t="s">
        <v>9</v>
      </c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</row>
    <row r="267" spans="1:24" ht="15.75" customHeight="1">
      <c r="A267" s="48">
        <v>22</v>
      </c>
      <c r="B267" s="49">
        <v>5.79</v>
      </c>
      <c r="C267" s="50">
        <v>67.23</v>
      </c>
      <c r="D267" s="48" t="s">
        <v>9</v>
      </c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</row>
    <row r="268" spans="1:24" ht="15.75" customHeight="1">
      <c r="A268" s="48">
        <v>22</v>
      </c>
      <c r="B268" s="49">
        <v>12.7</v>
      </c>
      <c r="C268" s="50">
        <v>88.57</v>
      </c>
      <c r="D268" s="48" t="s">
        <v>9</v>
      </c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</row>
    <row r="269" spans="1:24" ht="15.75" customHeight="1">
      <c r="A269" s="48">
        <v>22</v>
      </c>
      <c r="B269" s="49">
        <v>10.7</v>
      </c>
      <c r="C269" s="50">
        <v>82.02</v>
      </c>
      <c r="D269" s="48" t="s">
        <v>9</v>
      </c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</row>
    <row r="270" spans="1:24" ht="15.75" customHeight="1">
      <c r="A270" s="48">
        <v>22</v>
      </c>
      <c r="B270" s="49">
        <v>11.3</v>
      </c>
      <c r="C270" s="50">
        <v>99.6</v>
      </c>
      <c r="D270" s="48" t="s">
        <v>9</v>
      </c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</row>
    <row r="271" spans="1:24" ht="15.75" customHeight="1">
      <c r="A271" s="48">
        <v>22</v>
      </c>
      <c r="B271" s="49">
        <v>12.4</v>
      </c>
      <c r="C271" s="50">
        <v>96.74</v>
      </c>
      <c r="D271" s="48" t="s">
        <v>9</v>
      </c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</row>
    <row r="272" spans="1:24" ht="15.75" customHeight="1">
      <c r="A272" s="48">
        <v>23</v>
      </c>
      <c r="B272" s="49">
        <v>5.41</v>
      </c>
      <c r="C272" s="50">
        <v>48.26</v>
      </c>
      <c r="D272" s="48" t="s">
        <v>8</v>
      </c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</row>
    <row r="273" spans="1:24" ht="15.75" customHeight="1">
      <c r="A273" s="48">
        <v>23</v>
      </c>
      <c r="B273" s="49">
        <v>4.17</v>
      </c>
      <c r="C273" s="50">
        <v>48.26</v>
      </c>
      <c r="D273" s="48" t="s">
        <v>8</v>
      </c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</row>
    <row r="274" spans="1:24" ht="15.75" customHeight="1">
      <c r="A274" s="48">
        <v>23</v>
      </c>
      <c r="B274" s="49">
        <v>4.54</v>
      </c>
      <c r="C274" s="50">
        <v>21.1</v>
      </c>
      <c r="D274" s="48" t="s">
        <v>8</v>
      </c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</row>
    <row r="275" spans="1:24" ht="15.75" customHeight="1">
      <c r="A275" s="48">
        <v>23</v>
      </c>
      <c r="B275" s="49">
        <v>8.65</v>
      </c>
      <c r="C275" s="50">
        <v>88.43</v>
      </c>
      <c r="D275" s="48" t="s">
        <v>8</v>
      </c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</row>
    <row r="276" spans="1:24" ht="15.75" customHeight="1">
      <c r="A276" s="48">
        <v>23</v>
      </c>
      <c r="B276" s="49">
        <v>8.18</v>
      </c>
      <c r="C276" s="50">
        <v>92.48</v>
      </c>
      <c r="D276" s="48" t="s">
        <v>8</v>
      </c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</row>
    <row r="277" spans="1:24" ht="15.75" customHeight="1">
      <c r="A277" s="48">
        <v>23</v>
      </c>
      <c r="B277" s="49">
        <v>6.68</v>
      </c>
      <c r="C277" s="50">
        <v>33.049999999999997</v>
      </c>
      <c r="D277" s="48" t="s">
        <v>8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</row>
    <row r="278" spans="1:24" ht="15.75" customHeight="1">
      <c r="A278" s="48">
        <v>23</v>
      </c>
      <c r="B278" s="49">
        <v>4.34</v>
      </c>
      <c r="C278" s="50">
        <v>50.33</v>
      </c>
      <c r="D278" s="48" t="s">
        <v>8</v>
      </c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</row>
    <row r="279" spans="1:24" ht="15.75" customHeight="1">
      <c r="A279" s="48">
        <v>23</v>
      </c>
      <c r="B279" s="49">
        <v>4.1500000000000004</v>
      </c>
      <c r="C279" s="50">
        <v>49.27</v>
      </c>
      <c r="D279" s="48" t="s">
        <v>8</v>
      </c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</row>
    <row r="280" spans="1:24" ht="15.75" customHeight="1">
      <c r="A280" s="48">
        <v>23</v>
      </c>
      <c r="B280" s="49">
        <v>7.55</v>
      </c>
      <c r="C280" s="50">
        <v>92.22</v>
      </c>
      <c r="D280" s="48" t="s">
        <v>9</v>
      </c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</row>
    <row r="281" spans="1:24" ht="15.75" customHeight="1">
      <c r="A281" s="48">
        <v>23</v>
      </c>
      <c r="B281" s="49">
        <v>4.6100000000000003</v>
      </c>
      <c r="C281" s="50">
        <v>41.34</v>
      </c>
      <c r="D281" s="48" t="s">
        <v>9</v>
      </c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</row>
    <row r="282" spans="1:24" ht="15.75" customHeight="1">
      <c r="A282" s="48">
        <v>23</v>
      </c>
      <c r="B282" s="49">
        <v>9.3000000000000007</v>
      </c>
      <c r="C282" s="50">
        <v>58.26</v>
      </c>
      <c r="D282" s="48" t="s">
        <v>9</v>
      </c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</row>
    <row r="283" spans="1:24" ht="15.75" customHeight="1">
      <c r="A283" s="48">
        <v>23</v>
      </c>
      <c r="B283" s="49">
        <v>8.9700000000000006</v>
      </c>
      <c r="C283" s="50">
        <v>53.51</v>
      </c>
      <c r="D283" s="48" t="s">
        <v>9</v>
      </c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</row>
    <row r="284" spans="1:24" ht="15.75" customHeight="1">
      <c r="A284" s="48">
        <v>23</v>
      </c>
      <c r="B284" s="49">
        <v>2.8</v>
      </c>
      <c r="C284" s="50">
        <v>11.14</v>
      </c>
      <c r="D284" s="48" t="s">
        <v>9</v>
      </c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</row>
    <row r="285" spans="1:24" ht="15.75" customHeight="1">
      <c r="A285" s="48">
        <v>23</v>
      </c>
      <c r="B285" s="49">
        <v>12.1</v>
      </c>
      <c r="C285" s="50">
        <v>83.86</v>
      </c>
      <c r="D285" s="48" t="s">
        <v>9</v>
      </c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</row>
    <row r="286" spans="1:24" ht="15.75" customHeight="1">
      <c r="A286" s="48">
        <v>23</v>
      </c>
      <c r="B286" s="49">
        <v>11.8</v>
      </c>
      <c r="C286" s="50">
        <v>74.97</v>
      </c>
      <c r="D286" s="48" t="s">
        <v>9</v>
      </c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</row>
    <row r="287" spans="1:24" ht="15.75" customHeight="1">
      <c r="A287" s="48">
        <v>24</v>
      </c>
      <c r="B287" s="49">
        <v>4.4800000000000004</v>
      </c>
      <c r="C287" s="50">
        <v>48.26</v>
      </c>
      <c r="D287" s="48" t="s">
        <v>8</v>
      </c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spans="1:24" ht="15.75" customHeight="1">
      <c r="A288" s="48">
        <v>24</v>
      </c>
      <c r="B288" s="49">
        <v>8.6</v>
      </c>
      <c r="C288" s="50">
        <v>48.26</v>
      </c>
      <c r="D288" s="48" t="s">
        <v>8</v>
      </c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</row>
    <row r="289" spans="1:24" ht="15.75" customHeight="1">
      <c r="A289" s="48">
        <v>24</v>
      </c>
      <c r="B289" s="49">
        <v>4.05</v>
      </c>
      <c r="C289" s="50">
        <v>48.26</v>
      </c>
      <c r="D289" s="48" t="s">
        <v>8</v>
      </c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</row>
    <row r="290" spans="1:24" ht="15.75" customHeight="1">
      <c r="A290" s="48">
        <v>24</v>
      </c>
      <c r="B290" s="49">
        <v>7.9</v>
      </c>
      <c r="C290" s="50">
        <v>48.26</v>
      </c>
      <c r="D290" s="48" t="s">
        <v>8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</row>
    <row r="291" spans="1:24" ht="15.75" customHeight="1">
      <c r="A291" s="48">
        <v>24</v>
      </c>
      <c r="B291" s="49">
        <v>4.66</v>
      </c>
      <c r="C291" s="50">
        <v>48.26</v>
      </c>
      <c r="D291" s="48" t="s">
        <v>8</v>
      </c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</row>
    <row r="292" spans="1:24" ht="15.75" customHeight="1">
      <c r="A292" s="48">
        <v>24</v>
      </c>
      <c r="B292" s="49">
        <v>9.2799999999999994</v>
      </c>
      <c r="C292" s="50">
        <v>76.55</v>
      </c>
      <c r="D292" s="48" t="s">
        <v>8</v>
      </c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</row>
    <row r="293" spans="1:24" ht="15.75" customHeight="1">
      <c r="A293" s="48">
        <v>24</v>
      </c>
      <c r="B293" s="49">
        <v>5.0599999999999996</v>
      </c>
      <c r="C293" s="50">
        <v>96.03</v>
      </c>
      <c r="D293" s="48" t="s">
        <v>8</v>
      </c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</row>
    <row r="294" spans="1:24" ht="15.75" customHeight="1">
      <c r="A294" s="48">
        <v>24</v>
      </c>
      <c r="B294" s="49">
        <v>4.67</v>
      </c>
      <c r="C294" s="50">
        <v>57.53</v>
      </c>
      <c r="D294" s="48" t="s">
        <v>8</v>
      </c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</row>
    <row r="295" spans="1:24" ht="15.75" customHeight="1">
      <c r="A295" s="48">
        <v>24</v>
      </c>
      <c r="B295" s="49">
        <v>9.91</v>
      </c>
      <c r="C295" s="50">
        <v>62.71</v>
      </c>
      <c r="D295" s="48" t="s">
        <v>8</v>
      </c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</row>
    <row r="296" spans="1:24" ht="15.75" customHeight="1">
      <c r="A296" s="48">
        <v>24</v>
      </c>
      <c r="B296" s="49">
        <v>8.65</v>
      </c>
      <c r="C296" s="50">
        <v>79.790000000000006</v>
      </c>
      <c r="D296" s="48" t="s">
        <v>8</v>
      </c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</row>
    <row r="297" spans="1:24" ht="15.75" customHeight="1">
      <c r="A297" s="48">
        <v>24</v>
      </c>
      <c r="B297" s="49">
        <v>6.85</v>
      </c>
      <c r="C297" s="50">
        <v>62.56</v>
      </c>
      <c r="D297" s="48" t="s">
        <v>9</v>
      </c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</row>
    <row r="298" spans="1:24" ht="15.75" customHeight="1">
      <c r="A298" s="48">
        <v>24</v>
      </c>
      <c r="B298" s="49">
        <v>9.31</v>
      </c>
      <c r="C298" s="50">
        <v>77.760000000000005</v>
      </c>
      <c r="D298" s="48" t="s">
        <v>9</v>
      </c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</row>
    <row r="299" spans="1:24" ht="15.75" customHeight="1">
      <c r="A299" s="48">
        <v>24</v>
      </c>
      <c r="B299" s="49">
        <v>5.61</v>
      </c>
      <c r="C299" s="50">
        <v>63.19</v>
      </c>
      <c r="D299" s="48" t="s">
        <v>9</v>
      </c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</row>
    <row r="300" spans="1:24" ht="15.75" customHeight="1">
      <c r="A300" s="48">
        <v>24</v>
      </c>
      <c r="B300" s="49">
        <v>4</v>
      </c>
      <c r="C300" s="50">
        <v>58.99</v>
      </c>
      <c r="D300" s="48" t="s">
        <v>9</v>
      </c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</row>
    <row r="301" spans="1:24" ht="15.75" customHeight="1">
      <c r="A301" s="48">
        <v>24</v>
      </c>
      <c r="B301" s="49">
        <v>5.18</v>
      </c>
      <c r="C301" s="50">
        <v>59.17</v>
      </c>
      <c r="D301" s="48" t="s">
        <v>9</v>
      </c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</row>
    <row r="302" spans="1:24" ht="15.75" customHeight="1">
      <c r="A302" s="48">
        <v>24</v>
      </c>
      <c r="B302" s="49">
        <v>7.07</v>
      </c>
      <c r="C302" s="50">
        <v>92.83</v>
      </c>
      <c r="D302" s="48" t="s">
        <v>9</v>
      </c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</row>
    <row r="303" spans="1:24" ht="15.75" customHeight="1">
      <c r="A303" s="48">
        <v>24</v>
      </c>
      <c r="B303" s="49">
        <v>8.83</v>
      </c>
      <c r="C303" s="50">
        <v>76.27</v>
      </c>
      <c r="D303" s="48" t="s">
        <v>9</v>
      </c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</row>
    <row r="304" spans="1:24" ht="15.75" customHeight="1">
      <c r="A304" s="48">
        <v>24</v>
      </c>
      <c r="B304" s="49">
        <v>9.02</v>
      </c>
      <c r="C304" s="50">
        <v>68.38</v>
      </c>
      <c r="D304" s="48" t="s">
        <v>9</v>
      </c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</row>
    <row r="305" spans="1:24" ht="15.75" customHeight="1">
      <c r="A305" s="48">
        <v>24</v>
      </c>
      <c r="B305" s="49">
        <v>5.65</v>
      </c>
      <c r="C305" s="50">
        <v>65.02</v>
      </c>
      <c r="D305" s="48" t="s">
        <v>9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</row>
    <row r="306" spans="1:24" ht="15.75" customHeight="1">
      <c r="A306" s="48">
        <v>24</v>
      </c>
      <c r="B306" s="49">
        <v>6.46</v>
      </c>
      <c r="C306" s="50">
        <v>50.33</v>
      </c>
      <c r="D306" s="48" t="s">
        <v>9</v>
      </c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</row>
    <row r="307" spans="1:24" ht="15.75" customHeight="1">
      <c r="A307" s="48">
        <v>24</v>
      </c>
      <c r="B307" s="49">
        <v>4.66</v>
      </c>
      <c r="C307" s="50">
        <v>36.200000000000003</v>
      </c>
      <c r="D307" s="48" t="s">
        <v>9</v>
      </c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</row>
    <row r="308" spans="1:24" ht="15.75" customHeight="1">
      <c r="A308" s="48">
        <v>24</v>
      </c>
      <c r="B308" s="49">
        <v>6.56</v>
      </c>
      <c r="C308" s="50">
        <v>76.7</v>
      </c>
      <c r="D308" s="48" t="s">
        <v>9</v>
      </c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</row>
    <row r="309" spans="1:24" ht="15.75" customHeight="1">
      <c r="A309" s="48">
        <v>24</v>
      </c>
      <c r="B309" s="49">
        <v>7.72</v>
      </c>
      <c r="C309" s="50">
        <v>31.75</v>
      </c>
      <c r="D309" s="48" t="s">
        <v>9</v>
      </c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</row>
    <row r="310" spans="1:24" ht="15.75" customHeight="1">
      <c r="A310" s="48">
        <v>24</v>
      </c>
      <c r="B310" s="49">
        <v>8.6199999999999992</v>
      </c>
      <c r="C310" s="50">
        <v>59.47</v>
      </c>
      <c r="D310" s="48" t="s">
        <v>9</v>
      </c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</row>
    <row r="311" spans="1:24" ht="15.75" customHeight="1">
      <c r="A311" s="48">
        <v>25</v>
      </c>
      <c r="B311" s="49">
        <v>9.77</v>
      </c>
      <c r="C311" s="50">
        <v>48.26</v>
      </c>
      <c r="D311" s="48" t="s">
        <v>8</v>
      </c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</row>
    <row r="312" spans="1:24" ht="15.75" customHeight="1">
      <c r="A312" s="48">
        <v>25</v>
      </c>
      <c r="B312" s="49">
        <v>7.98</v>
      </c>
      <c r="C312" s="50">
        <v>48.26</v>
      </c>
      <c r="D312" s="48" t="s">
        <v>8</v>
      </c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</row>
    <row r="313" spans="1:24" ht="15.75" customHeight="1">
      <c r="A313" s="48">
        <v>25</v>
      </c>
      <c r="B313" s="49">
        <v>6.16</v>
      </c>
      <c r="C313" s="50">
        <v>71.33</v>
      </c>
      <c r="D313" s="48" t="s">
        <v>8</v>
      </c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</row>
    <row r="314" spans="1:24" ht="15.75" customHeight="1">
      <c r="A314" s="48">
        <v>25</v>
      </c>
      <c r="B314" s="49">
        <v>8.39</v>
      </c>
      <c r="C314" s="50">
        <v>56.55</v>
      </c>
      <c r="D314" s="48" t="s">
        <v>8</v>
      </c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</row>
    <row r="315" spans="1:24" ht="15.75" customHeight="1">
      <c r="A315" s="48">
        <v>25</v>
      </c>
      <c r="B315" s="49">
        <v>9.67</v>
      </c>
      <c r="C315" s="50">
        <v>93.01</v>
      </c>
      <c r="D315" s="48" t="s">
        <v>8</v>
      </c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</row>
    <row r="316" spans="1:24" ht="15.75" customHeight="1">
      <c r="A316" s="48">
        <v>25</v>
      </c>
      <c r="B316" s="49">
        <v>4.32</v>
      </c>
      <c r="C316" s="50">
        <v>31.48</v>
      </c>
      <c r="D316" s="48" t="s">
        <v>9</v>
      </c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</row>
    <row r="317" spans="1:24" ht="15.75" customHeight="1">
      <c r="A317" s="48">
        <v>25</v>
      </c>
      <c r="B317" s="49">
        <v>5.97</v>
      </c>
      <c r="C317" s="50">
        <v>49.48</v>
      </c>
      <c r="D317" s="48" t="s">
        <v>9</v>
      </c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</row>
    <row r="318" spans="1:24" ht="15.75" customHeight="1">
      <c r="A318" s="48">
        <v>25</v>
      </c>
      <c r="B318" s="49">
        <v>7.37</v>
      </c>
      <c r="C318" s="50">
        <v>19.02</v>
      </c>
      <c r="D318" s="48" t="s">
        <v>9</v>
      </c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</row>
    <row r="319" spans="1:24" ht="15.75" customHeight="1">
      <c r="A319" s="48">
        <v>25</v>
      </c>
      <c r="B319" s="49">
        <v>8.5500000000000007</v>
      </c>
      <c r="C319" s="50">
        <v>37.83</v>
      </c>
      <c r="D319" s="48" t="s">
        <v>9</v>
      </c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</row>
    <row r="320" spans="1:24" ht="15.75" customHeight="1">
      <c r="A320" s="48">
        <v>25</v>
      </c>
      <c r="B320" s="49">
        <v>5.94</v>
      </c>
      <c r="C320" s="50">
        <v>100.07</v>
      </c>
      <c r="D320" s="48" t="s">
        <v>9</v>
      </c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</row>
    <row r="321" spans="1:24" ht="15.75" customHeight="1">
      <c r="A321" s="48">
        <v>25</v>
      </c>
      <c r="B321" s="49">
        <v>4.57</v>
      </c>
      <c r="C321" s="50">
        <v>45.88</v>
      </c>
      <c r="D321" s="48" t="s">
        <v>9</v>
      </c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</row>
    <row r="322" spans="1:24" ht="15.75" customHeight="1">
      <c r="A322" s="48">
        <v>25</v>
      </c>
      <c r="B322" s="49">
        <v>4.99</v>
      </c>
      <c r="C322" s="50">
        <v>42.91</v>
      </c>
      <c r="D322" s="48" t="s">
        <v>9</v>
      </c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</row>
    <row r="323" spans="1:24" ht="15.75" customHeight="1">
      <c r="A323" s="48">
        <v>25</v>
      </c>
      <c r="B323" s="49">
        <v>5.48</v>
      </c>
      <c r="C323" s="50">
        <v>34.47</v>
      </c>
      <c r="D323" s="48" t="s">
        <v>9</v>
      </c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</row>
    <row r="324" spans="1:24" ht="15.75" customHeight="1">
      <c r="A324" s="48">
        <v>25</v>
      </c>
      <c r="B324" s="49">
        <v>4.88</v>
      </c>
      <c r="C324" s="50">
        <v>62.64</v>
      </c>
      <c r="D324" s="48" t="s">
        <v>9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</row>
    <row r="325" spans="1:24" ht="15.75" customHeight="1">
      <c r="A325" s="48">
        <v>25</v>
      </c>
      <c r="B325" s="49">
        <v>6.28</v>
      </c>
      <c r="C325" s="50">
        <v>61.5</v>
      </c>
      <c r="D325" s="48" t="s">
        <v>9</v>
      </c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</row>
    <row r="326" spans="1:24" ht="15.75" customHeight="1">
      <c r="A326" s="48">
        <v>25</v>
      </c>
      <c r="B326" s="49">
        <v>6.25</v>
      </c>
      <c r="C326" s="50">
        <v>59.23</v>
      </c>
      <c r="D326" s="48" t="s">
        <v>9</v>
      </c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</row>
    <row r="327" spans="1:24" ht="15.75" customHeight="1">
      <c r="A327" s="48">
        <v>25</v>
      </c>
      <c r="B327" s="49">
        <v>4.78</v>
      </c>
      <c r="C327" s="50">
        <v>67.87</v>
      </c>
      <c r="D327" s="48" t="s">
        <v>9</v>
      </c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</row>
    <row r="328" spans="1:24" ht="15.75" customHeight="1">
      <c r="A328" s="48">
        <v>25</v>
      </c>
      <c r="B328" s="49">
        <v>8.0399999999999991</v>
      </c>
      <c r="C328" s="50">
        <v>110.48</v>
      </c>
      <c r="D328" s="48" t="s">
        <v>9</v>
      </c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</row>
    <row r="329" spans="1:24" ht="15.75" customHeight="1">
      <c r="A329" s="48">
        <v>25</v>
      </c>
      <c r="B329" s="49">
        <v>2.4</v>
      </c>
      <c r="C329" s="50">
        <v>48.14</v>
      </c>
      <c r="D329" s="48" t="s">
        <v>9</v>
      </c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</row>
    <row r="330" spans="1:24" ht="15.75" customHeight="1">
      <c r="A330" s="48">
        <v>25</v>
      </c>
      <c r="B330" s="49">
        <v>3.8</v>
      </c>
      <c r="C330" s="50">
        <v>44.87</v>
      </c>
      <c r="D330" s="48" t="s">
        <v>9</v>
      </c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</row>
    <row r="331" spans="1:24" ht="15.75" customHeight="1">
      <c r="A331" s="48">
        <v>25</v>
      </c>
      <c r="B331" s="49">
        <v>4</v>
      </c>
      <c r="C331" s="50">
        <v>18.52</v>
      </c>
      <c r="D331" s="48" t="s">
        <v>9</v>
      </c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</row>
    <row r="332" spans="1:24" ht="15.75" customHeight="1">
      <c r="A332" s="48">
        <v>25</v>
      </c>
      <c r="B332" s="49">
        <v>12.5</v>
      </c>
      <c r="C332" s="50">
        <v>110.81</v>
      </c>
      <c r="D332" s="48" t="s">
        <v>9</v>
      </c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</row>
    <row r="333" spans="1:24" ht="15.75" customHeight="1">
      <c r="A333" s="48">
        <v>25</v>
      </c>
      <c r="B333" s="49">
        <v>12</v>
      </c>
      <c r="C333" s="50">
        <v>83.21</v>
      </c>
      <c r="D333" s="48" t="s">
        <v>9</v>
      </c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</row>
    <row r="334" spans="1:24" ht="15.75" customHeight="1">
      <c r="A334" s="48">
        <v>26</v>
      </c>
      <c r="B334" s="49">
        <v>8.14</v>
      </c>
      <c r="C334" s="50">
        <v>48.26</v>
      </c>
      <c r="D334" s="48" t="s">
        <v>8</v>
      </c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</row>
    <row r="335" spans="1:24" ht="15.75" customHeight="1">
      <c r="A335" s="48">
        <v>26</v>
      </c>
      <c r="B335" s="49">
        <v>7.37</v>
      </c>
      <c r="C335" s="50">
        <v>48.26</v>
      </c>
      <c r="D335" s="48" t="s">
        <v>8</v>
      </c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</row>
    <row r="336" spans="1:24" ht="15.75" customHeight="1">
      <c r="A336" s="48">
        <v>26</v>
      </c>
      <c r="B336" s="49">
        <v>7.31</v>
      </c>
      <c r="C336" s="50">
        <v>48.26</v>
      </c>
      <c r="D336" s="48" t="s">
        <v>8</v>
      </c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</row>
    <row r="337" spans="1:24" ht="15.75" customHeight="1">
      <c r="A337" s="48">
        <v>26</v>
      </c>
      <c r="B337" s="49">
        <v>8.6300000000000008</v>
      </c>
      <c r="C337" s="50">
        <v>48.26</v>
      </c>
      <c r="D337" s="48" t="s">
        <v>8</v>
      </c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</row>
    <row r="338" spans="1:24" ht="15.75" customHeight="1">
      <c r="A338" s="48">
        <v>26</v>
      </c>
      <c r="B338" s="49">
        <v>6.23</v>
      </c>
      <c r="C338" s="50">
        <v>48.26</v>
      </c>
      <c r="D338" s="48" t="s">
        <v>8</v>
      </c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</row>
    <row r="339" spans="1:24" ht="15.75" customHeight="1">
      <c r="A339" s="48">
        <v>26</v>
      </c>
      <c r="B339" s="49">
        <v>4.76</v>
      </c>
      <c r="C339" s="50">
        <v>58</v>
      </c>
      <c r="D339" s="48" t="s">
        <v>8</v>
      </c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</row>
    <row r="340" spans="1:24" ht="15.75" customHeight="1">
      <c r="A340" s="48">
        <v>26</v>
      </c>
      <c r="B340" s="49">
        <v>6.21</v>
      </c>
      <c r="C340" s="50">
        <v>65.28</v>
      </c>
      <c r="D340" s="48" t="s">
        <v>8</v>
      </c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</row>
    <row r="341" spans="1:24" ht="15.75" customHeight="1">
      <c r="A341" s="48">
        <v>26</v>
      </c>
      <c r="B341" s="49">
        <v>9.2100000000000009</v>
      </c>
      <c r="C341" s="50">
        <v>83.15</v>
      </c>
      <c r="D341" s="48" t="s">
        <v>8</v>
      </c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</row>
    <row r="342" spans="1:24" ht="15.75" customHeight="1">
      <c r="A342" s="48">
        <v>26</v>
      </c>
      <c r="B342" s="49">
        <v>5.78</v>
      </c>
      <c r="C342" s="50">
        <v>87.4</v>
      </c>
      <c r="D342" s="48" t="s">
        <v>8</v>
      </c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</row>
    <row r="343" spans="1:24" ht="15.75" customHeight="1">
      <c r="A343" s="48">
        <v>26</v>
      </c>
      <c r="B343" s="49">
        <v>4.18</v>
      </c>
      <c r="C343" s="50">
        <v>8</v>
      </c>
      <c r="D343" s="48" t="s">
        <v>8</v>
      </c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</row>
    <row r="344" spans="1:24" ht="15.75" customHeight="1">
      <c r="A344" s="48">
        <v>26</v>
      </c>
      <c r="B344" s="49">
        <v>5.3</v>
      </c>
      <c r="C344" s="50">
        <v>30.67</v>
      </c>
      <c r="D344" s="48" t="s">
        <v>9</v>
      </c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</row>
    <row r="345" spans="1:24" ht="15.75" customHeight="1">
      <c r="A345" s="48">
        <v>26</v>
      </c>
      <c r="B345" s="49">
        <v>8.91</v>
      </c>
      <c r="C345" s="50">
        <v>47.3</v>
      </c>
      <c r="D345" s="48" t="s">
        <v>9</v>
      </c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</row>
    <row r="346" spans="1:24" ht="15.75" customHeight="1">
      <c r="A346" s="48">
        <v>26</v>
      </c>
      <c r="B346" s="49">
        <v>6.82</v>
      </c>
      <c r="C346" s="50">
        <v>51.97</v>
      </c>
      <c r="D346" s="48" t="s">
        <v>9</v>
      </c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</row>
    <row r="347" spans="1:24" ht="15.75" customHeight="1">
      <c r="A347" s="48">
        <v>26</v>
      </c>
      <c r="B347" s="49">
        <v>5.31</v>
      </c>
      <c r="C347" s="50">
        <v>52.1</v>
      </c>
      <c r="D347" s="48" t="s">
        <v>9</v>
      </c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</row>
    <row r="348" spans="1:24" ht="15.75" customHeight="1">
      <c r="A348" s="48">
        <v>26</v>
      </c>
      <c r="B348" s="49">
        <v>9.3000000000000007</v>
      </c>
      <c r="C348" s="50">
        <v>78.83</v>
      </c>
      <c r="D348" s="48" t="s">
        <v>9</v>
      </c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</row>
    <row r="349" spans="1:24" ht="15.75" customHeight="1">
      <c r="A349" s="48">
        <v>26</v>
      </c>
      <c r="B349" s="49">
        <v>7.81</v>
      </c>
      <c r="C349" s="50">
        <v>71.47</v>
      </c>
      <c r="D349" s="48" t="s">
        <v>9</v>
      </c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</row>
    <row r="350" spans="1:24" ht="15.75" customHeight="1">
      <c r="A350" s="48">
        <v>26</v>
      </c>
      <c r="B350" s="49">
        <v>9.68</v>
      </c>
      <c r="C350" s="50">
        <v>132.72999999999999</v>
      </c>
      <c r="D350" s="48" t="s">
        <v>9</v>
      </c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</row>
    <row r="351" spans="1:24" ht="15.75" customHeight="1">
      <c r="A351" s="48">
        <v>26</v>
      </c>
      <c r="B351" s="49">
        <v>2.6</v>
      </c>
      <c r="C351" s="50">
        <v>43.26</v>
      </c>
      <c r="D351" s="48" t="s">
        <v>9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</row>
    <row r="352" spans="1:24" ht="15.75" customHeight="1">
      <c r="A352" s="48">
        <v>26</v>
      </c>
      <c r="B352" s="49">
        <v>3.2</v>
      </c>
      <c r="C352" s="50">
        <v>6.97</v>
      </c>
      <c r="D352" s="48" t="s">
        <v>9</v>
      </c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</row>
    <row r="353" spans="1:24" ht="15.75" customHeight="1">
      <c r="A353" s="48">
        <v>26</v>
      </c>
      <c r="B353" s="49">
        <v>11.8</v>
      </c>
      <c r="C353" s="50">
        <v>105.6</v>
      </c>
      <c r="D353" s="48" t="s">
        <v>9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</row>
    <row r="354" spans="1:24" ht="15.75" customHeight="1">
      <c r="A354" s="48">
        <v>26</v>
      </c>
      <c r="B354" s="49">
        <v>10</v>
      </c>
      <c r="C354" s="50">
        <v>98.34</v>
      </c>
      <c r="D354" s="48" t="s">
        <v>9</v>
      </c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</row>
    <row r="355" spans="1:24" ht="15.75" customHeight="1">
      <c r="A355" s="48">
        <v>27</v>
      </c>
      <c r="B355" s="49">
        <v>4.7</v>
      </c>
      <c r="C355" s="50">
        <v>48.26</v>
      </c>
      <c r="D355" s="48" t="s">
        <v>8</v>
      </c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</row>
    <row r="356" spans="1:24" ht="15.75" customHeight="1">
      <c r="A356" s="48">
        <v>27</v>
      </c>
      <c r="B356" s="49">
        <v>4.84</v>
      </c>
      <c r="C356" s="50">
        <v>48.26</v>
      </c>
      <c r="D356" s="48" t="s">
        <v>8</v>
      </c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</row>
    <row r="357" spans="1:24" ht="15.75" customHeight="1">
      <c r="A357" s="48">
        <v>27</v>
      </c>
      <c r="B357" s="49">
        <v>6.96</v>
      </c>
      <c r="C357" s="50">
        <v>48.26</v>
      </c>
      <c r="D357" s="48" t="s">
        <v>8</v>
      </c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</row>
    <row r="358" spans="1:24" ht="15.75" customHeight="1">
      <c r="A358" s="48">
        <v>27</v>
      </c>
      <c r="B358" s="49">
        <v>7.7</v>
      </c>
      <c r="C358" s="50">
        <v>53.96</v>
      </c>
      <c r="D358" s="48" t="s">
        <v>8</v>
      </c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</row>
    <row r="359" spans="1:24" ht="15.75" customHeight="1">
      <c r="A359" s="48">
        <v>27</v>
      </c>
      <c r="B359" s="49">
        <v>6.63</v>
      </c>
      <c r="C359" s="50">
        <v>54.57</v>
      </c>
      <c r="D359" s="48" t="s">
        <v>8</v>
      </c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</row>
    <row r="360" spans="1:24" ht="15.75" customHeight="1">
      <c r="A360" s="48">
        <v>27</v>
      </c>
      <c r="B360" s="49">
        <v>9.25</v>
      </c>
      <c r="C360" s="50">
        <v>66.709999999999994</v>
      </c>
      <c r="D360" s="48" t="s">
        <v>8</v>
      </c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</row>
    <row r="361" spans="1:24" ht="15.75" customHeight="1">
      <c r="A361" s="48">
        <v>27</v>
      </c>
      <c r="B361" s="49">
        <v>6.63</v>
      </c>
      <c r="C361" s="50">
        <v>34.28</v>
      </c>
      <c r="D361" s="48" t="s">
        <v>8</v>
      </c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</row>
    <row r="362" spans="1:24" ht="15.75" customHeight="1">
      <c r="A362" s="48">
        <v>27</v>
      </c>
      <c r="B362" s="49">
        <v>9.7799999999999994</v>
      </c>
      <c r="C362" s="50">
        <v>109.79</v>
      </c>
      <c r="D362" s="48" t="s">
        <v>9</v>
      </c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</row>
    <row r="363" spans="1:24" ht="15.75" customHeight="1">
      <c r="A363" s="48">
        <v>27</v>
      </c>
      <c r="B363" s="49">
        <v>4.1100000000000003</v>
      </c>
      <c r="C363" s="50">
        <v>36.31</v>
      </c>
      <c r="D363" s="48" t="s">
        <v>9</v>
      </c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</row>
    <row r="364" spans="1:24" ht="15.75" customHeight="1">
      <c r="A364" s="48">
        <v>27</v>
      </c>
      <c r="B364" s="49">
        <v>6.5</v>
      </c>
      <c r="C364" s="50">
        <v>44.27</v>
      </c>
      <c r="D364" s="48" t="s">
        <v>9</v>
      </c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</row>
    <row r="365" spans="1:24" ht="15.75" customHeight="1">
      <c r="A365" s="48">
        <v>27</v>
      </c>
      <c r="B365" s="49">
        <v>5.22</v>
      </c>
      <c r="C365" s="50">
        <v>28.76</v>
      </c>
      <c r="D365" s="48" t="s">
        <v>9</v>
      </c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</row>
    <row r="366" spans="1:24" ht="15.75" customHeight="1">
      <c r="A366" s="48">
        <v>27</v>
      </c>
      <c r="B366" s="49">
        <v>5.05</v>
      </c>
      <c r="C366" s="50">
        <v>73.69</v>
      </c>
      <c r="D366" s="48" t="s">
        <v>9</v>
      </c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</row>
    <row r="367" spans="1:24" ht="15.75" customHeight="1">
      <c r="A367" s="48">
        <v>27</v>
      </c>
      <c r="B367" s="49">
        <v>8.41</v>
      </c>
      <c r="C367" s="50">
        <v>54.49</v>
      </c>
      <c r="D367" s="48" t="s">
        <v>9</v>
      </c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</row>
    <row r="368" spans="1:24" ht="15.75" customHeight="1">
      <c r="A368" s="48">
        <v>27</v>
      </c>
      <c r="B368" s="49">
        <v>6.47</v>
      </c>
      <c r="C368" s="50">
        <v>36.21</v>
      </c>
      <c r="D368" s="48" t="s">
        <v>9</v>
      </c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</row>
    <row r="369" spans="1:24" ht="15.75" customHeight="1">
      <c r="A369" s="48">
        <v>27</v>
      </c>
      <c r="B369" s="49">
        <v>1.6</v>
      </c>
      <c r="C369" s="50">
        <v>38.61</v>
      </c>
      <c r="D369" s="48" t="s">
        <v>9</v>
      </c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</row>
    <row r="370" spans="1:24" ht="15.75" customHeight="1">
      <c r="A370" s="48">
        <v>27</v>
      </c>
      <c r="B370" s="49">
        <v>11.4</v>
      </c>
      <c r="C370" s="50">
        <v>56.37</v>
      </c>
      <c r="D370" s="48" t="s">
        <v>9</v>
      </c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</row>
    <row r="371" spans="1:24" ht="15.75" customHeight="1">
      <c r="A371" s="48">
        <v>27</v>
      </c>
      <c r="B371" s="49">
        <v>11.3</v>
      </c>
      <c r="C371" s="50">
        <v>92.43</v>
      </c>
      <c r="D371" s="48" t="s">
        <v>9</v>
      </c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</row>
    <row r="372" spans="1:24" ht="15.75" customHeight="1">
      <c r="A372" s="48">
        <v>28</v>
      </c>
      <c r="B372" s="49">
        <v>5.39</v>
      </c>
      <c r="C372" s="50">
        <v>48.26</v>
      </c>
      <c r="D372" s="48" t="s">
        <v>8</v>
      </c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</row>
    <row r="373" spans="1:24" ht="15.75" customHeight="1">
      <c r="A373" s="48">
        <v>28</v>
      </c>
      <c r="B373" s="49">
        <v>7.6</v>
      </c>
      <c r="C373" s="50">
        <v>48.26</v>
      </c>
      <c r="D373" s="48" t="s">
        <v>8</v>
      </c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</row>
    <row r="374" spans="1:24" ht="15.75" customHeight="1">
      <c r="A374" s="48">
        <v>28</v>
      </c>
      <c r="B374" s="49">
        <v>7.21</v>
      </c>
      <c r="C374" s="50">
        <v>48.26</v>
      </c>
      <c r="D374" s="48" t="s">
        <v>8</v>
      </c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</row>
    <row r="375" spans="1:24" ht="15.75" customHeight="1">
      <c r="A375" s="48">
        <v>28</v>
      </c>
      <c r="B375" s="49">
        <v>5.34</v>
      </c>
      <c r="C375" s="50">
        <v>48.26</v>
      </c>
      <c r="D375" s="48" t="s">
        <v>8</v>
      </c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</row>
    <row r="376" spans="1:24" ht="15.75" customHeight="1">
      <c r="A376" s="48">
        <v>28</v>
      </c>
      <c r="B376" s="49">
        <v>9.49</v>
      </c>
      <c r="C376" s="50">
        <v>48.26</v>
      </c>
      <c r="D376" s="48" t="s">
        <v>8</v>
      </c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</row>
    <row r="377" spans="1:24" ht="15.75" customHeight="1">
      <c r="A377" s="48">
        <v>28</v>
      </c>
      <c r="B377" s="49">
        <v>5.29</v>
      </c>
      <c r="C377" s="50">
        <v>48.26</v>
      </c>
      <c r="D377" s="48" t="s">
        <v>8</v>
      </c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</row>
    <row r="378" spans="1:24" ht="15.75" customHeight="1">
      <c r="A378" s="48">
        <v>28</v>
      </c>
      <c r="B378" s="49">
        <v>7.97</v>
      </c>
      <c r="C378" s="50">
        <v>52.97</v>
      </c>
      <c r="D378" s="48" t="s">
        <v>8</v>
      </c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</row>
    <row r="379" spans="1:24" ht="15.75" customHeight="1">
      <c r="A379" s="48">
        <v>28</v>
      </c>
      <c r="B379" s="49">
        <v>8.86</v>
      </c>
      <c r="C379" s="50">
        <v>55.5</v>
      </c>
      <c r="D379" s="48" t="s">
        <v>8</v>
      </c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</row>
    <row r="380" spans="1:24" ht="15.75" customHeight="1">
      <c r="A380" s="48">
        <v>28</v>
      </c>
      <c r="B380" s="49">
        <v>7.41</v>
      </c>
      <c r="C380" s="50">
        <v>86.46</v>
      </c>
      <c r="D380" s="48" t="s">
        <v>8</v>
      </c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</row>
    <row r="381" spans="1:24" ht="15.75" customHeight="1">
      <c r="A381" s="48">
        <v>28</v>
      </c>
      <c r="B381" s="49">
        <v>4.1399999999999997</v>
      </c>
      <c r="C381" s="50">
        <v>22.54</v>
      </c>
      <c r="D381" s="48" t="s">
        <v>9</v>
      </c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</row>
    <row r="382" spans="1:24" ht="15.75" customHeight="1">
      <c r="A382" s="48">
        <v>28</v>
      </c>
      <c r="B382" s="49">
        <v>9.8699999999999992</v>
      </c>
      <c r="C382" s="50">
        <v>77.92</v>
      </c>
      <c r="D382" s="48" t="s">
        <v>9</v>
      </c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</row>
    <row r="383" spans="1:24" ht="15.75" customHeight="1">
      <c r="A383" s="48">
        <v>28</v>
      </c>
      <c r="B383" s="49">
        <v>7.58</v>
      </c>
      <c r="C383" s="50">
        <v>54.71</v>
      </c>
      <c r="D383" s="48" t="s">
        <v>9</v>
      </c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</row>
    <row r="384" spans="1:24" ht="15.75" customHeight="1">
      <c r="A384" s="48">
        <v>28</v>
      </c>
      <c r="B384" s="49">
        <v>7.27</v>
      </c>
      <c r="C384" s="50">
        <v>33.450000000000003</v>
      </c>
      <c r="D384" s="48" t="s">
        <v>9</v>
      </c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</row>
    <row r="385" spans="1:24" ht="15.75" customHeight="1">
      <c r="A385" s="48">
        <v>28</v>
      </c>
      <c r="B385" s="49">
        <v>6.93</v>
      </c>
      <c r="C385" s="50">
        <v>71.62</v>
      </c>
      <c r="D385" s="48" t="s">
        <v>9</v>
      </c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</row>
    <row r="386" spans="1:24" ht="15.75" customHeight="1">
      <c r="A386" s="48">
        <v>28</v>
      </c>
      <c r="B386" s="49">
        <v>9.27</v>
      </c>
      <c r="C386" s="50">
        <v>81.64</v>
      </c>
      <c r="D386" s="48" t="s">
        <v>9</v>
      </c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</row>
    <row r="387" spans="1:24" ht="15.75" customHeight="1">
      <c r="A387" s="48">
        <v>28</v>
      </c>
      <c r="B387" s="49">
        <v>4.3899999999999997</v>
      </c>
      <c r="C387" s="50">
        <v>35.26</v>
      </c>
      <c r="D387" s="48" t="s">
        <v>9</v>
      </c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</row>
    <row r="388" spans="1:24" ht="15.75" customHeight="1">
      <c r="A388" s="48">
        <v>28</v>
      </c>
      <c r="B388" s="49">
        <v>12.3</v>
      </c>
      <c r="C388" s="50">
        <v>103.88</v>
      </c>
      <c r="D388" s="48" t="s">
        <v>9</v>
      </c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</row>
    <row r="389" spans="1:24" ht="15.75" customHeight="1">
      <c r="A389" s="48">
        <v>29</v>
      </c>
      <c r="B389" s="49">
        <v>5.47</v>
      </c>
      <c r="C389" s="50">
        <v>48.26</v>
      </c>
      <c r="D389" s="48" t="s">
        <v>8</v>
      </c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</row>
    <row r="390" spans="1:24" ht="15.75" customHeight="1">
      <c r="A390" s="48">
        <v>29</v>
      </c>
      <c r="B390" s="49">
        <v>9.02</v>
      </c>
      <c r="C390" s="50">
        <v>48.26</v>
      </c>
      <c r="D390" s="48" t="s">
        <v>8</v>
      </c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</row>
    <row r="391" spans="1:24" ht="15.75" customHeight="1">
      <c r="A391" s="48">
        <v>29</v>
      </c>
      <c r="B391" s="49">
        <v>6.59</v>
      </c>
      <c r="C391" s="50">
        <v>48.26</v>
      </c>
      <c r="D391" s="48" t="s">
        <v>8</v>
      </c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</row>
    <row r="392" spans="1:24" ht="15.75" customHeight="1">
      <c r="A392" s="48">
        <v>29</v>
      </c>
      <c r="B392" s="49">
        <v>5.96</v>
      </c>
      <c r="C392" s="50">
        <v>55.1</v>
      </c>
      <c r="D392" s="48" t="s">
        <v>8</v>
      </c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</row>
    <row r="393" spans="1:24" ht="15.75" customHeight="1">
      <c r="A393" s="48">
        <v>29</v>
      </c>
      <c r="B393" s="49">
        <v>7.38</v>
      </c>
      <c r="C393" s="50">
        <v>26.08</v>
      </c>
      <c r="D393" s="48" t="s">
        <v>8</v>
      </c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</row>
    <row r="394" spans="1:24" ht="15.75" customHeight="1">
      <c r="A394" s="48">
        <v>29</v>
      </c>
      <c r="B394" s="49">
        <v>6.91</v>
      </c>
      <c r="C394" s="50">
        <v>76.37</v>
      </c>
      <c r="D394" s="48" t="s">
        <v>9</v>
      </c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</row>
    <row r="395" spans="1:24" ht="15.75" customHeight="1">
      <c r="A395" s="48">
        <v>29</v>
      </c>
      <c r="B395" s="49">
        <v>6.27</v>
      </c>
      <c r="C395" s="50">
        <v>59.31</v>
      </c>
      <c r="D395" s="48" t="s">
        <v>9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</row>
    <row r="396" spans="1:24" ht="15.75" customHeight="1">
      <c r="A396" s="48">
        <v>29</v>
      </c>
      <c r="B396" s="49">
        <v>8.2899999999999991</v>
      </c>
      <c r="C396" s="50">
        <v>50.65</v>
      </c>
      <c r="D396" s="48" t="s">
        <v>9</v>
      </c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</row>
    <row r="397" spans="1:24" ht="15.75" customHeight="1">
      <c r="A397" s="48">
        <v>29</v>
      </c>
      <c r="B397" s="49">
        <v>7.9</v>
      </c>
      <c r="C397" s="50">
        <v>41.49</v>
      </c>
      <c r="D397" s="48" t="s">
        <v>9</v>
      </c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</row>
    <row r="398" spans="1:24" ht="15.75" customHeight="1">
      <c r="A398" s="48">
        <v>29</v>
      </c>
      <c r="B398" s="49">
        <v>6.32</v>
      </c>
      <c r="C398" s="50">
        <v>73.260000000000005</v>
      </c>
      <c r="D398" s="48" t="s">
        <v>9</v>
      </c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</row>
    <row r="399" spans="1:24" ht="15.75" customHeight="1">
      <c r="A399" s="48">
        <v>29</v>
      </c>
      <c r="B399" s="49">
        <v>4.8499999999999996</v>
      </c>
      <c r="C399" s="50">
        <v>59.93</v>
      </c>
      <c r="D399" s="48" t="s">
        <v>9</v>
      </c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</row>
    <row r="400" spans="1:24" ht="15.75" customHeight="1">
      <c r="A400" s="48">
        <v>29</v>
      </c>
      <c r="B400" s="49">
        <v>4.1500000000000004</v>
      </c>
      <c r="C400" s="50">
        <v>20.84</v>
      </c>
      <c r="D400" s="48" t="s">
        <v>9</v>
      </c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</row>
    <row r="401" spans="1:24" ht="15.75" customHeight="1">
      <c r="A401" s="48">
        <v>29</v>
      </c>
      <c r="B401" s="49">
        <v>5.88</v>
      </c>
      <c r="C401" s="50">
        <v>51.43</v>
      </c>
      <c r="D401" s="48" t="s">
        <v>9</v>
      </c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</row>
    <row r="402" spans="1:24" ht="15.75" customHeight="1">
      <c r="A402" s="48">
        <v>29</v>
      </c>
      <c r="B402" s="49">
        <v>2.67</v>
      </c>
      <c r="C402" s="50">
        <v>25.28</v>
      </c>
      <c r="D402" s="48" t="s">
        <v>9</v>
      </c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</row>
    <row r="403" spans="1:24" ht="15.75" customHeight="1">
      <c r="A403" s="48">
        <v>29</v>
      </c>
      <c r="B403" s="49">
        <v>2.9</v>
      </c>
      <c r="C403" s="50">
        <v>26.05</v>
      </c>
      <c r="D403" s="48" t="s">
        <v>9</v>
      </c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</row>
    <row r="404" spans="1:24" ht="15.75" customHeight="1">
      <c r="A404" s="48">
        <v>29</v>
      </c>
      <c r="B404" s="49">
        <v>12.2</v>
      </c>
      <c r="C404" s="50">
        <v>57.01</v>
      </c>
      <c r="D404" s="48" t="s">
        <v>9</v>
      </c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</row>
    <row r="405" spans="1:24" ht="15.75" customHeight="1">
      <c r="A405" s="48">
        <v>30</v>
      </c>
      <c r="B405" s="49">
        <v>4.93</v>
      </c>
      <c r="C405" s="50">
        <v>48.26</v>
      </c>
      <c r="D405" s="48" t="s">
        <v>8</v>
      </c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</row>
    <row r="406" spans="1:24" ht="15.75" customHeight="1">
      <c r="A406" s="48">
        <v>30</v>
      </c>
      <c r="B406" s="49">
        <v>6.72</v>
      </c>
      <c r="C406" s="50">
        <v>48.26</v>
      </c>
      <c r="D406" s="48" t="s">
        <v>8</v>
      </c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</row>
    <row r="407" spans="1:24" ht="15.75" customHeight="1">
      <c r="A407" s="48">
        <v>30</v>
      </c>
      <c r="B407" s="49">
        <v>9.18</v>
      </c>
      <c r="C407" s="50">
        <v>48.26</v>
      </c>
      <c r="D407" s="48" t="s">
        <v>8</v>
      </c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</row>
    <row r="408" spans="1:24" ht="15.75" customHeight="1">
      <c r="A408" s="48">
        <v>30</v>
      </c>
      <c r="B408" s="49">
        <v>6.45</v>
      </c>
      <c r="C408" s="50">
        <v>48.26</v>
      </c>
      <c r="D408" s="48" t="s">
        <v>8</v>
      </c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</row>
    <row r="409" spans="1:24" ht="15.75" customHeight="1">
      <c r="A409" s="48">
        <v>30</v>
      </c>
      <c r="B409" s="49">
        <v>8.61</v>
      </c>
      <c r="C409" s="50">
        <v>52.91</v>
      </c>
      <c r="D409" s="48" t="s">
        <v>8</v>
      </c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</row>
    <row r="410" spans="1:24" ht="15.75" customHeight="1">
      <c r="A410" s="48">
        <v>30</v>
      </c>
      <c r="B410" s="49">
        <v>4.54</v>
      </c>
      <c r="C410" s="50">
        <v>42.01</v>
      </c>
      <c r="D410" s="48" t="s">
        <v>8</v>
      </c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</row>
    <row r="411" spans="1:24" ht="15.75" customHeight="1">
      <c r="A411" s="48">
        <v>30</v>
      </c>
      <c r="B411" s="49">
        <v>4.1500000000000004</v>
      </c>
      <c r="C411" s="50">
        <v>60.58</v>
      </c>
      <c r="D411" s="48" t="s">
        <v>8</v>
      </c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</row>
    <row r="412" spans="1:24" ht="15.75" customHeight="1">
      <c r="A412" s="48">
        <v>30</v>
      </c>
      <c r="B412" s="49">
        <v>9.2200000000000006</v>
      </c>
      <c r="C412" s="50">
        <v>83.76</v>
      </c>
      <c r="D412" s="48" t="s">
        <v>8</v>
      </c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</row>
    <row r="413" spans="1:24" ht="15.75" customHeight="1">
      <c r="A413" s="48">
        <v>30</v>
      </c>
      <c r="B413" s="49">
        <v>6.15</v>
      </c>
      <c r="C413" s="50">
        <v>48.99</v>
      </c>
      <c r="D413" s="48" t="s">
        <v>9</v>
      </c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</row>
    <row r="414" spans="1:24" ht="15.75" customHeight="1">
      <c r="A414" s="48">
        <v>30</v>
      </c>
      <c r="B414" s="49">
        <v>8.27</v>
      </c>
      <c r="C414" s="50">
        <v>46.56</v>
      </c>
      <c r="D414" s="48" t="s">
        <v>9</v>
      </c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</row>
    <row r="415" spans="1:24" ht="15.75" customHeight="1">
      <c r="A415" s="48">
        <v>30</v>
      </c>
      <c r="B415" s="49">
        <v>8.44</v>
      </c>
      <c r="C415" s="50">
        <v>64.36</v>
      </c>
      <c r="D415" s="48" t="s">
        <v>9</v>
      </c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</row>
    <row r="416" spans="1:24" ht="15.75" customHeight="1">
      <c r="A416" s="48">
        <v>30</v>
      </c>
      <c r="B416" s="49">
        <v>7.18</v>
      </c>
      <c r="C416" s="50">
        <v>22.58</v>
      </c>
      <c r="D416" s="48" t="s">
        <v>9</v>
      </c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</row>
    <row r="417" spans="1:24" ht="15.75" customHeight="1">
      <c r="A417" s="48">
        <v>30</v>
      </c>
      <c r="B417" s="49">
        <v>8.6</v>
      </c>
      <c r="C417" s="50">
        <v>42.69</v>
      </c>
      <c r="D417" s="48" t="s">
        <v>9</v>
      </c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</row>
    <row r="418" spans="1:24" ht="15.75" customHeight="1">
      <c r="A418" s="48">
        <v>30</v>
      </c>
      <c r="B418" s="49">
        <v>9.24</v>
      </c>
      <c r="C418" s="50">
        <v>77.36</v>
      </c>
      <c r="D418" s="48" t="s">
        <v>9</v>
      </c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</row>
    <row r="419" spans="1:24" ht="15.75" customHeight="1">
      <c r="A419" s="48">
        <v>30</v>
      </c>
      <c r="B419" s="49">
        <v>2</v>
      </c>
      <c r="C419" s="50">
        <v>32.700000000000003</v>
      </c>
      <c r="D419" s="48" t="s">
        <v>9</v>
      </c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</row>
    <row r="420" spans="1:24" ht="15.75" customHeight="1">
      <c r="A420" s="48">
        <v>30</v>
      </c>
      <c r="B420" s="49">
        <v>3.7</v>
      </c>
      <c r="C420" s="50">
        <v>12.65</v>
      </c>
      <c r="D420" s="48" t="s">
        <v>9</v>
      </c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</row>
    <row r="421" spans="1:24" ht="15.75" customHeight="1">
      <c r="A421" s="48">
        <v>30</v>
      </c>
      <c r="B421" s="49">
        <v>12.1</v>
      </c>
      <c r="C421" s="50">
        <v>92.08</v>
      </c>
      <c r="D421" s="48" t="s">
        <v>9</v>
      </c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</row>
    <row r="422" spans="1:24" ht="15.75" customHeight="1">
      <c r="A422" s="48">
        <v>30</v>
      </c>
      <c r="B422" s="49">
        <v>12.2</v>
      </c>
      <c r="C422" s="50">
        <v>79.36</v>
      </c>
      <c r="D422" s="48" t="s">
        <v>9</v>
      </c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</row>
    <row r="423" spans="1:24" ht="15.75" customHeight="1">
      <c r="A423" s="48">
        <v>31</v>
      </c>
      <c r="B423" s="49">
        <v>8.92</v>
      </c>
      <c r="C423" s="50">
        <v>48.26</v>
      </c>
      <c r="D423" s="48" t="s">
        <v>8</v>
      </c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</row>
    <row r="424" spans="1:24" ht="15.75" customHeight="1">
      <c r="A424" s="48">
        <v>31</v>
      </c>
      <c r="B424" s="49">
        <v>6.38</v>
      </c>
      <c r="C424" s="50">
        <v>48.26</v>
      </c>
      <c r="D424" s="48" t="s">
        <v>8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</row>
    <row r="425" spans="1:24" ht="15.75" customHeight="1">
      <c r="A425" s="48">
        <v>31</v>
      </c>
      <c r="B425" s="49">
        <v>4.55</v>
      </c>
      <c r="C425" s="50">
        <v>48.26</v>
      </c>
      <c r="D425" s="48" t="s">
        <v>8</v>
      </c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</row>
    <row r="426" spans="1:24" ht="15.75" customHeight="1">
      <c r="A426" s="48">
        <v>31</v>
      </c>
      <c r="B426" s="49">
        <v>6.55</v>
      </c>
      <c r="C426" s="50">
        <v>48.26</v>
      </c>
      <c r="D426" s="48" t="s">
        <v>8</v>
      </c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</row>
    <row r="427" spans="1:24" ht="15.75" customHeight="1">
      <c r="A427" s="48">
        <v>31</v>
      </c>
      <c r="B427" s="49">
        <v>9.6</v>
      </c>
      <c r="C427" s="50">
        <v>48.26</v>
      </c>
      <c r="D427" s="48" t="s">
        <v>8</v>
      </c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</row>
    <row r="428" spans="1:24" ht="15.75" customHeight="1">
      <c r="A428" s="48">
        <v>31</v>
      </c>
      <c r="B428" s="49">
        <v>7.33</v>
      </c>
      <c r="C428" s="50">
        <v>48.26</v>
      </c>
      <c r="D428" s="48" t="s">
        <v>8</v>
      </c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</row>
    <row r="429" spans="1:24" ht="15.75" customHeight="1">
      <c r="A429" s="48">
        <v>31</v>
      </c>
      <c r="B429" s="49">
        <v>5.87</v>
      </c>
      <c r="C429" s="50">
        <v>48.26</v>
      </c>
      <c r="D429" s="48" t="s">
        <v>8</v>
      </c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</row>
    <row r="430" spans="1:24" ht="15.75" customHeight="1">
      <c r="A430" s="48">
        <v>31</v>
      </c>
      <c r="B430" s="49">
        <v>9.73</v>
      </c>
      <c r="C430" s="50">
        <v>48.26</v>
      </c>
      <c r="D430" s="48" t="s">
        <v>8</v>
      </c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</row>
    <row r="431" spans="1:24" ht="15.75" customHeight="1">
      <c r="A431" s="48">
        <v>31</v>
      </c>
      <c r="B431" s="49">
        <v>7.22</v>
      </c>
      <c r="C431" s="50">
        <v>28.75</v>
      </c>
      <c r="D431" s="48" t="s">
        <v>8</v>
      </c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</row>
    <row r="432" spans="1:24" ht="15.75" customHeight="1">
      <c r="A432" s="48">
        <v>31</v>
      </c>
      <c r="B432" s="49">
        <v>4.13</v>
      </c>
      <c r="C432" s="50">
        <v>26.63</v>
      </c>
      <c r="D432" s="48" t="s">
        <v>8</v>
      </c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</row>
    <row r="433" spans="1:24" ht="15.75" customHeight="1">
      <c r="A433" s="48">
        <v>31</v>
      </c>
      <c r="B433" s="49">
        <v>9.84</v>
      </c>
      <c r="C433" s="50">
        <v>108.17</v>
      </c>
      <c r="D433" s="48" t="s">
        <v>9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</row>
    <row r="434" spans="1:24" ht="15.75" customHeight="1">
      <c r="A434" s="48">
        <v>31</v>
      </c>
      <c r="B434" s="49">
        <v>4.6500000000000004</v>
      </c>
      <c r="C434" s="50">
        <v>30.74</v>
      </c>
      <c r="D434" s="48" t="s">
        <v>8</v>
      </c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</row>
    <row r="435" spans="1:24" ht="15.75" customHeight="1">
      <c r="A435" s="48">
        <v>31</v>
      </c>
      <c r="B435" s="49">
        <v>4.83</v>
      </c>
      <c r="C435" s="50">
        <v>39.82</v>
      </c>
      <c r="D435" s="48" t="s">
        <v>9</v>
      </c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</row>
    <row r="436" spans="1:24" ht="15.75" customHeight="1">
      <c r="A436" s="48">
        <v>31</v>
      </c>
      <c r="B436" s="49">
        <v>8.94</v>
      </c>
      <c r="C436" s="50">
        <v>49.92</v>
      </c>
      <c r="D436" s="48" t="s">
        <v>9</v>
      </c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</row>
    <row r="437" spans="1:24" ht="15.75" customHeight="1">
      <c r="A437" s="48">
        <v>31</v>
      </c>
      <c r="B437" s="49">
        <v>6.34</v>
      </c>
      <c r="C437" s="50">
        <v>56.08</v>
      </c>
      <c r="D437" s="48" t="s">
        <v>9</v>
      </c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</row>
    <row r="438" spans="1:24" ht="15.75" customHeight="1">
      <c r="A438" s="48">
        <v>31</v>
      </c>
      <c r="B438" s="49">
        <v>7.46</v>
      </c>
      <c r="C438" s="50">
        <v>52.4</v>
      </c>
      <c r="D438" s="48" t="s">
        <v>9</v>
      </c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</row>
    <row r="439" spans="1:24" ht="15.75" customHeight="1">
      <c r="A439" s="48">
        <v>31</v>
      </c>
      <c r="B439" s="49">
        <v>7.3</v>
      </c>
      <c r="C439" s="50">
        <v>63.35</v>
      </c>
      <c r="D439" s="48" t="s">
        <v>9</v>
      </c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</row>
    <row r="440" spans="1:24" ht="15.75" customHeight="1">
      <c r="A440" s="48">
        <v>31</v>
      </c>
      <c r="B440" s="49">
        <v>9</v>
      </c>
      <c r="C440" s="50">
        <v>60.12</v>
      </c>
      <c r="D440" s="48" t="s">
        <v>9</v>
      </c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</row>
    <row r="441" spans="1:24" ht="15.75" customHeight="1">
      <c r="A441" s="48">
        <v>31</v>
      </c>
      <c r="B441" s="49">
        <v>11.6</v>
      </c>
      <c r="C441" s="50">
        <v>95.39</v>
      </c>
      <c r="D441" s="48" t="s">
        <v>9</v>
      </c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</row>
    <row r="442" spans="1:24" ht="15.75" customHeight="1">
      <c r="A442" s="48">
        <v>32</v>
      </c>
      <c r="B442" s="49">
        <v>9.74</v>
      </c>
      <c r="C442" s="50">
        <v>89.32</v>
      </c>
      <c r="D442" s="48" t="s">
        <v>9</v>
      </c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</row>
    <row r="443" spans="1:24" ht="15.75" customHeight="1">
      <c r="A443" s="48">
        <v>32</v>
      </c>
      <c r="B443" s="49">
        <v>8.8000000000000007</v>
      </c>
      <c r="C443" s="50">
        <v>115.37</v>
      </c>
      <c r="D443" s="48" t="s">
        <v>9</v>
      </c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</row>
    <row r="444" spans="1:24" ht="15.75" customHeight="1">
      <c r="A444" s="48">
        <v>32</v>
      </c>
      <c r="B444" s="49">
        <v>6.31</v>
      </c>
      <c r="C444" s="50">
        <v>21.73</v>
      </c>
      <c r="D444" s="48" t="s">
        <v>9</v>
      </c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</row>
    <row r="445" spans="1:24" ht="15.75" customHeight="1">
      <c r="A445" s="48">
        <v>32</v>
      </c>
      <c r="B445" s="49">
        <v>8.68</v>
      </c>
      <c r="C445" s="50">
        <v>89.26</v>
      </c>
      <c r="D445" s="48" t="s">
        <v>9</v>
      </c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</row>
    <row r="446" spans="1:24" ht="15.75" customHeight="1">
      <c r="A446" s="48">
        <v>32</v>
      </c>
      <c r="B446" s="49">
        <v>8</v>
      </c>
      <c r="C446" s="50">
        <v>62.46</v>
      </c>
      <c r="D446" s="48" t="s">
        <v>9</v>
      </c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</row>
    <row r="447" spans="1:24" ht="15.75" customHeight="1">
      <c r="A447" s="48">
        <v>32</v>
      </c>
      <c r="B447" s="49">
        <v>7.38</v>
      </c>
      <c r="C447" s="50">
        <v>75.75</v>
      </c>
      <c r="D447" s="48" t="s">
        <v>9</v>
      </c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</row>
    <row r="448" spans="1:24" ht="15.75" customHeight="1">
      <c r="A448" s="48">
        <v>32</v>
      </c>
      <c r="B448" s="49">
        <v>7.19</v>
      </c>
      <c r="C448" s="50">
        <v>48.4</v>
      </c>
      <c r="D448" s="48" t="s">
        <v>9</v>
      </c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</row>
    <row r="449" spans="1:24" ht="15.75" customHeight="1">
      <c r="A449" s="48">
        <v>32</v>
      </c>
      <c r="B449" s="49">
        <v>7.48</v>
      </c>
      <c r="C449" s="50">
        <v>49.8</v>
      </c>
      <c r="D449" s="48" t="s">
        <v>9</v>
      </c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</row>
    <row r="450" spans="1:24" ht="15.75" customHeight="1">
      <c r="A450" s="48">
        <v>32</v>
      </c>
      <c r="B450" s="49">
        <v>4.3099999999999996</v>
      </c>
      <c r="C450" s="50">
        <v>33.97</v>
      </c>
      <c r="D450" s="48" t="s">
        <v>9</v>
      </c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</row>
    <row r="451" spans="1:24" ht="15.75" customHeight="1">
      <c r="A451" s="48">
        <v>32</v>
      </c>
      <c r="B451" s="49">
        <v>6.24</v>
      </c>
      <c r="C451" s="50">
        <v>54.93</v>
      </c>
      <c r="D451" s="48" t="s">
        <v>9</v>
      </c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</row>
    <row r="452" spans="1:24" ht="15.75" customHeight="1">
      <c r="A452" s="48">
        <v>32</v>
      </c>
      <c r="B452" s="49">
        <v>7.3</v>
      </c>
      <c r="C452" s="50">
        <v>101.92</v>
      </c>
      <c r="D452" s="48" t="s">
        <v>9</v>
      </c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</row>
    <row r="453" spans="1:24" ht="15.75" customHeight="1">
      <c r="A453" s="48">
        <v>33</v>
      </c>
      <c r="B453" s="49">
        <v>6.99</v>
      </c>
      <c r="C453" s="50">
        <v>48.26</v>
      </c>
      <c r="D453" s="48" t="s">
        <v>8</v>
      </c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</row>
    <row r="454" spans="1:24" ht="15.75" customHeight="1">
      <c r="A454" s="48">
        <v>33</v>
      </c>
      <c r="B454" s="49">
        <v>8.4700000000000006</v>
      </c>
      <c r="C454" s="50">
        <v>69.06</v>
      </c>
      <c r="D454" s="48" t="s">
        <v>8</v>
      </c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</row>
    <row r="455" spans="1:24" ht="15.75" customHeight="1">
      <c r="A455" s="48">
        <v>33</v>
      </c>
      <c r="B455" s="49">
        <v>9.19</v>
      </c>
      <c r="C455" s="50">
        <v>72.56</v>
      </c>
      <c r="D455" s="48" t="s">
        <v>8</v>
      </c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</row>
    <row r="456" spans="1:24" ht="15.75" customHeight="1">
      <c r="A456" s="48">
        <v>33</v>
      </c>
      <c r="B456" s="49">
        <v>7.6</v>
      </c>
      <c r="C456" s="50">
        <v>50.29</v>
      </c>
      <c r="D456" s="48" t="s">
        <v>8</v>
      </c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</row>
    <row r="457" spans="1:24" ht="15.75" customHeight="1">
      <c r="A457" s="48">
        <v>33</v>
      </c>
      <c r="B457" s="49">
        <v>8.6199999999999992</v>
      </c>
      <c r="C457" s="50">
        <v>71.040000000000006</v>
      </c>
      <c r="D457" s="48" t="s">
        <v>9</v>
      </c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</row>
    <row r="458" spans="1:24" ht="15.75" customHeight="1">
      <c r="A458" s="48">
        <v>33</v>
      </c>
      <c r="B458" s="49">
        <v>5.91</v>
      </c>
      <c r="C458" s="50">
        <v>54.85</v>
      </c>
      <c r="D458" s="48" t="s">
        <v>9</v>
      </c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</row>
    <row r="459" spans="1:24" ht="15.75" customHeight="1">
      <c r="A459" s="48">
        <v>33</v>
      </c>
      <c r="B459" s="49">
        <v>11.9</v>
      </c>
      <c r="C459" s="50">
        <v>114.96</v>
      </c>
      <c r="D459" s="48" t="s">
        <v>9</v>
      </c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</row>
    <row r="460" spans="1:24" ht="15.75" customHeight="1">
      <c r="A460" s="48">
        <v>33</v>
      </c>
      <c r="B460" s="49">
        <v>11</v>
      </c>
      <c r="C460" s="50">
        <v>63.32</v>
      </c>
      <c r="D460" s="48" t="s">
        <v>9</v>
      </c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</row>
    <row r="461" spans="1:24" ht="15.75" customHeight="1">
      <c r="A461" s="48">
        <v>34</v>
      </c>
      <c r="B461" s="49">
        <v>6.82</v>
      </c>
      <c r="C461" s="50">
        <v>48.26</v>
      </c>
      <c r="D461" s="48" t="s">
        <v>8</v>
      </c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</row>
    <row r="462" spans="1:24" ht="15.75" customHeight="1">
      <c r="A462" s="48">
        <v>34</v>
      </c>
      <c r="B462" s="49">
        <v>8.64</v>
      </c>
      <c r="C462" s="50">
        <v>48.26</v>
      </c>
      <c r="D462" s="48" t="s">
        <v>8</v>
      </c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</row>
    <row r="463" spans="1:24" ht="15.75" customHeight="1">
      <c r="A463" s="48">
        <v>34</v>
      </c>
      <c r="B463" s="49">
        <v>5.38</v>
      </c>
      <c r="C463" s="50">
        <v>48.26</v>
      </c>
      <c r="D463" s="48" t="s">
        <v>8</v>
      </c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</row>
    <row r="464" spans="1:24" ht="15.75" customHeight="1">
      <c r="A464" s="48">
        <v>34</v>
      </c>
      <c r="B464" s="49">
        <v>9.94</v>
      </c>
      <c r="C464" s="50">
        <v>48.26</v>
      </c>
      <c r="D464" s="48" t="s">
        <v>8</v>
      </c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</row>
    <row r="465" spans="1:24" ht="15.75" customHeight="1">
      <c r="A465" s="48">
        <v>34</v>
      </c>
      <c r="B465" s="49">
        <v>4.93</v>
      </c>
      <c r="C465" s="50">
        <v>65.16</v>
      </c>
      <c r="D465" s="48" t="s">
        <v>8</v>
      </c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</row>
    <row r="466" spans="1:24" ht="15.75" customHeight="1">
      <c r="A466" s="48">
        <v>34</v>
      </c>
      <c r="B466" s="49">
        <v>6.12</v>
      </c>
      <c r="C466" s="50">
        <v>49.54</v>
      </c>
      <c r="D466" s="48" t="s">
        <v>8</v>
      </c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</row>
    <row r="467" spans="1:24" ht="15.75" customHeight="1">
      <c r="A467" s="48">
        <v>34</v>
      </c>
      <c r="B467" s="49">
        <v>5.15</v>
      </c>
      <c r="C467" s="50">
        <v>51.35</v>
      </c>
      <c r="D467" s="48" t="s">
        <v>8</v>
      </c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</row>
    <row r="468" spans="1:24" ht="15.75" customHeight="1">
      <c r="A468" s="48">
        <v>34</v>
      </c>
      <c r="B468" s="49">
        <v>4.03</v>
      </c>
      <c r="C468" s="50">
        <v>44.21</v>
      </c>
      <c r="D468" s="48" t="s">
        <v>8</v>
      </c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</row>
    <row r="469" spans="1:24" ht="15.75" customHeight="1">
      <c r="A469" s="48">
        <v>34</v>
      </c>
      <c r="B469" s="49">
        <v>5.59</v>
      </c>
      <c r="C469" s="50">
        <v>58.41</v>
      </c>
      <c r="D469" s="48" t="s">
        <v>9</v>
      </c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</row>
    <row r="470" spans="1:24" ht="15.75" customHeight="1">
      <c r="A470" s="48">
        <v>34</v>
      </c>
      <c r="B470" s="49">
        <v>6.25</v>
      </c>
      <c r="C470" s="50">
        <v>35.03</v>
      </c>
      <c r="D470" s="48" t="s">
        <v>9</v>
      </c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</row>
    <row r="471" spans="1:24" ht="15.75" customHeight="1">
      <c r="A471" s="48">
        <v>34</v>
      </c>
      <c r="B471" s="49">
        <v>8.41</v>
      </c>
      <c r="C471" s="50">
        <v>8.69</v>
      </c>
      <c r="D471" s="48" t="s">
        <v>9</v>
      </c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</row>
    <row r="472" spans="1:24" ht="15.75" customHeight="1">
      <c r="A472" s="48">
        <v>34</v>
      </c>
      <c r="B472" s="49">
        <v>9.99</v>
      </c>
      <c r="C472" s="50">
        <v>92.22</v>
      </c>
      <c r="D472" s="48" t="s">
        <v>9</v>
      </c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</row>
    <row r="473" spans="1:24" ht="15.75" customHeight="1">
      <c r="A473" s="48">
        <v>34</v>
      </c>
      <c r="B473" s="49">
        <v>8.89</v>
      </c>
      <c r="C473" s="50">
        <v>85.79</v>
      </c>
      <c r="D473" s="48" t="s">
        <v>9</v>
      </c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</row>
    <row r="474" spans="1:24" ht="15.75" customHeight="1">
      <c r="A474" s="48">
        <v>34</v>
      </c>
      <c r="B474" s="49">
        <v>2</v>
      </c>
      <c r="C474" s="50">
        <v>19.010000000000002</v>
      </c>
      <c r="D474" s="48" t="s">
        <v>9</v>
      </c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</row>
    <row r="475" spans="1:24" ht="15.75" customHeight="1">
      <c r="A475" s="48">
        <v>35</v>
      </c>
      <c r="B475" s="49">
        <v>9.07</v>
      </c>
      <c r="C475" s="50">
        <v>48.26</v>
      </c>
      <c r="D475" s="48" t="s">
        <v>8</v>
      </c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</row>
    <row r="476" spans="1:24" ht="15.75" customHeight="1">
      <c r="A476" s="48">
        <v>35</v>
      </c>
      <c r="B476" s="49">
        <v>4.88</v>
      </c>
      <c r="C476" s="50">
        <v>48.26</v>
      </c>
      <c r="D476" s="48" t="s">
        <v>8</v>
      </c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</row>
    <row r="477" spans="1:24" ht="15.75" customHeight="1">
      <c r="A477" s="48">
        <v>35</v>
      </c>
      <c r="B477" s="49">
        <v>7.37</v>
      </c>
      <c r="C477" s="50">
        <v>48.26</v>
      </c>
      <c r="D477" s="48" t="s">
        <v>8</v>
      </c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</row>
    <row r="478" spans="1:24" ht="15.75" customHeight="1">
      <c r="A478" s="48">
        <v>35</v>
      </c>
      <c r="B478" s="49">
        <v>8.3800000000000008</v>
      </c>
      <c r="C478" s="50">
        <v>100.78</v>
      </c>
      <c r="D478" s="48" t="s">
        <v>8</v>
      </c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</row>
    <row r="479" spans="1:24" ht="15.75" customHeight="1">
      <c r="A479" s="48">
        <v>35</v>
      </c>
      <c r="B479" s="49">
        <v>4.68</v>
      </c>
      <c r="C479" s="50">
        <v>49.81</v>
      </c>
      <c r="D479" s="48" t="s">
        <v>8</v>
      </c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</row>
    <row r="480" spans="1:24" ht="15.75" customHeight="1">
      <c r="A480" s="48">
        <v>35</v>
      </c>
      <c r="B480" s="49">
        <v>6.63</v>
      </c>
      <c r="C480" s="50">
        <v>79.290000000000006</v>
      </c>
      <c r="D480" s="48" t="s">
        <v>8</v>
      </c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</row>
    <row r="481" spans="1:24" ht="15.75" customHeight="1">
      <c r="A481" s="48">
        <v>35</v>
      </c>
      <c r="B481" s="49">
        <v>7.69</v>
      </c>
      <c r="C481" s="50">
        <v>81.08</v>
      </c>
      <c r="D481" s="48" t="s">
        <v>8</v>
      </c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</row>
    <row r="482" spans="1:24" ht="15.75" customHeight="1">
      <c r="A482" s="48">
        <v>35</v>
      </c>
      <c r="B482" s="49">
        <v>8.08</v>
      </c>
      <c r="C482" s="50">
        <v>53.62</v>
      </c>
      <c r="D482" s="48" t="s">
        <v>9</v>
      </c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</row>
    <row r="483" spans="1:24" ht="15.75" customHeight="1">
      <c r="A483" s="48">
        <v>35</v>
      </c>
      <c r="B483" s="49">
        <v>6.33</v>
      </c>
      <c r="C483" s="50">
        <v>47.69</v>
      </c>
      <c r="D483" s="48" t="s">
        <v>9</v>
      </c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</row>
    <row r="484" spans="1:24" ht="15.75" customHeight="1">
      <c r="A484" s="48">
        <v>35</v>
      </c>
      <c r="B484" s="49">
        <v>9.33</v>
      </c>
      <c r="C484" s="50">
        <v>84.48</v>
      </c>
      <c r="D484" s="48" t="s">
        <v>9</v>
      </c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</row>
    <row r="485" spans="1:24" ht="15.75" customHeight="1">
      <c r="A485" s="48">
        <v>35</v>
      </c>
      <c r="B485" s="49">
        <v>5.05</v>
      </c>
      <c r="C485" s="50">
        <v>74.09</v>
      </c>
      <c r="D485" s="48" t="s">
        <v>9</v>
      </c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</row>
    <row r="486" spans="1:24" ht="15.75" customHeight="1">
      <c r="A486" s="48">
        <v>35</v>
      </c>
      <c r="B486" s="49">
        <v>5.58</v>
      </c>
      <c r="C486" s="50">
        <v>74.44</v>
      </c>
      <c r="D486" s="48" t="s">
        <v>9</v>
      </c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</row>
    <row r="487" spans="1:24" ht="15.75" customHeight="1">
      <c r="A487" s="48">
        <v>35</v>
      </c>
      <c r="B487" s="49">
        <v>9.56</v>
      </c>
      <c r="C487" s="50">
        <v>67.12</v>
      </c>
      <c r="D487" s="48" t="s">
        <v>9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</row>
    <row r="488" spans="1:24" ht="15.75" customHeight="1">
      <c r="A488" s="48">
        <v>35</v>
      </c>
      <c r="B488" s="49">
        <v>8.74</v>
      </c>
      <c r="C488" s="50">
        <v>72.92</v>
      </c>
      <c r="D488" s="48" t="s">
        <v>9</v>
      </c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</row>
    <row r="489" spans="1:24" ht="15.75" customHeight="1">
      <c r="A489" s="48">
        <v>35</v>
      </c>
      <c r="B489" s="49">
        <v>7.46</v>
      </c>
      <c r="C489" s="50">
        <v>55.88</v>
      </c>
      <c r="D489" s="48" t="s">
        <v>9</v>
      </c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</row>
    <row r="490" spans="1:24" ht="15.75" customHeight="1">
      <c r="A490" s="48">
        <v>35</v>
      </c>
      <c r="B490" s="49">
        <v>12.4</v>
      </c>
      <c r="C490" s="50">
        <v>109.42</v>
      </c>
      <c r="D490" s="48" t="s">
        <v>9</v>
      </c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</row>
    <row r="491" spans="1:24" ht="15.75" customHeight="1">
      <c r="A491" s="48">
        <v>36</v>
      </c>
      <c r="B491" s="49">
        <v>5.2</v>
      </c>
      <c r="C491" s="50">
        <v>48.26</v>
      </c>
      <c r="D491" s="48" t="s">
        <v>8</v>
      </c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</row>
    <row r="492" spans="1:24" ht="15.75" customHeight="1">
      <c r="A492" s="48">
        <v>36</v>
      </c>
      <c r="B492" s="49">
        <v>4.24</v>
      </c>
      <c r="C492" s="50">
        <v>48.26</v>
      </c>
      <c r="D492" s="48" t="s">
        <v>8</v>
      </c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</row>
    <row r="493" spans="1:24" ht="15.75" customHeight="1">
      <c r="A493" s="48">
        <v>36</v>
      </c>
      <c r="B493" s="49">
        <v>6.97</v>
      </c>
      <c r="C493" s="50">
        <v>48.26</v>
      </c>
      <c r="D493" s="48" t="s">
        <v>8</v>
      </c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</row>
    <row r="494" spans="1:24" ht="15.75" customHeight="1">
      <c r="A494" s="48">
        <v>36</v>
      </c>
      <c r="B494" s="49">
        <v>5.77</v>
      </c>
      <c r="C494" s="50">
        <v>48.26</v>
      </c>
      <c r="D494" s="48" t="s">
        <v>8</v>
      </c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</row>
    <row r="495" spans="1:24" ht="15.75" customHeight="1">
      <c r="A495" s="48">
        <v>36</v>
      </c>
      <c r="B495" s="49">
        <v>9.0299999999999994</v>
      </c>
      <c r="C495" s="50">
        <v>48.26</v>
      </c>
      <c r="D495" s="48" t="s">
        <v>8</v>
      </c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</row>
    <row r="496" spans="1:24" ht="15.75" customHeight="1">
      <c r="A496" s="48">
        <v>36</v>
      </c>
      <c r="B496" s="49">
        <v>8.49</v>
      </c>
      <c r="C496" s="50">
        <v>48.26</v>
      </c>
      <c r="D496" s="48" t="s">
        <v>8</v>
      </c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</row>
    <row r="497" spans="1:24" ht="15.75" customHeight="1">
      <c r="A497" s="48">
        <v>36</v>
      </c>
      <c r="B497" s="49">
        <v>9.35</v>
      </c>
      <c r="C497" s="50">
        <v>96.31</v>
      </c>
      <c r="D497" s="48" t="s">
        <v>8</v>
      </c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</row>
    <row r="498" spans="1:24" ht="15.75" customHeight="1">
      <c r="A498" s="48">
        <v>36</v>
      </c>
      <c r="B498" s="49">
        <v>9.99</v>
      </c>
      <c r="C498" s="50">
        <v>78.39</v>
      </c>
      <c r="D498" s="48" t="s">
        <v>8</v>
      </c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</row>
    <row r="499" spans="1:24" ht="15.75" customHeight="1">
      <c r="A499" s="48">
        <v>36</v>
      </c>
      <c r="B499" s="49">
        <v>8.11</v>
      </c>
      <c r="C499" s="50">
        <v>81.53</v>
      </c>
      <c r="D499" s="48" t="s">
        <v>9</v>
      </c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</row>
    <row r="500" spans="1:24" ht="15.75" customHeight="1">
      <c r="A500" s="48">
        <v>36</v>
      </c>
      <c r="B500" s="49">
        <v>6.71</v>
      </c>
      <c r="C500" s="50">
        <v>40.14</v>
      </c>
      <c r="D500" s="48" t="s">
        <v>9</v>
      </c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</row>
    <row r="501" spans="1:24" ht="15.75" customHeight="1">
      <c r="A501" s="48">
        <v>36</v>
      </c>
      <c r="B501" s="49">
        <v>6.94</v>
      </c>
      <c r="C501" s="50">
        <v>85.29</v>
      </c>
      <c r="D501" s="48" t="s">
        <v>9</v>
      </c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</row>
    <row r="502" spans="1:24" ht="15.75" customHeight="1">
      <c r="A502" s="48">
        <v>36</v>
      </c>
      <c r="B502" s="49">
        <v>5.98</v>
      </c>
      <c r="C502" s="50">
        <v>56.8</v>
      </c>
      <c r="D502" s="48" t="s">
        <v>9</v>
      </c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</row>
    <row r="503" spans="1:24" ht="15.75" customHeight="1">
      <c r="A503" s="48">
        <v>36</v>
      </c>
      <c r="B503" s="49">
        <v>8.8800000000000008</v>
      </c>
      <c r="C503" s="50">
        <v>73.25</v>
      </c>
      <c r="D503" s="48" t="s">
        <v>9</v>
      </c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</row>
    <row r="504" spans="1:24" ht="15.75" customHeight="1">
      <c r="A504" s="48">
        <v>36</v>
      </c>
      <c r="B504" s="49">
        <v>7.25</v>
      </c>
      <c r="C504" s="50">
        <v>42.01</v>
      </c>
      <c r="D504" s="48" t="s">
        <v>9</v>
      </c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</row>
    <row r="505" spans="1:24" ht="15.75" customHeight="1">
      <c r="A505" s="48">
        <v>36</v>
      </c>
      <c r="B505" s="49">
        <v>7.25</v>
      </c>
      <c r="C505" s="50">
        <v>91.39</v>
      </c>
      <c r="D505" s="48" t="s">
        <v>9</v>
      </c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</row>
    <row r="506" spans="1:24" ht="15.75" customHeight="1">
      <c r="A506" s="48">
        <v>36</v>
      </c>
      <c r="B506" s="49">
        <v>5.86</v>
      </c>
      <c r="C506" s="50">
        <v>50.94</v>
      </c>
      <c r="D506" s="48" t="s">
        <v>9</v>
      </c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</row>
    <row r="507" spans="1:24" ht="15.75" customHeight="1">
      <c r="A507" s="48">
        <v>36</v>
      </c>
      <c r="B507" s="49">
        <v>1.9</v>
      </c>
      <c r="C507" s="50">
        <v>28.32</v>
      </c>
      <c r="D507" s="48" t="s">
        <v>9</v>
      </c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</row>
    <row r="508" spans="1:24" ht="15.75" customHeight="1">
      <c r="A508" s="48">
        <v>36</v>
      </c>
      <c r="B508" s="49">
        <v>11.3</v>
      </c>
      <c r="C508" s="50">
        <v>87.75</v>
      </c>
      <c r="D508" s="48" t="s">
        <v>9</v>
      </c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</row>
    <row r="509" spans="1:24" ht="15.75" customHeight="1">
      <c r="A509" s="48">
        <v>36</v>
      </c>
      <c r="B509" s="49">
        <v>12.8</v>
      </c>
      <c r="C509" s="50">
        <v>91.79</v>
      </c>
      <c r="D509" s="48" t="s">
        <v>9</v>
      </c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</row>
    <row r="510" spans="1:24" ht="15.75" customHeight="1">
      <c r="A510" s="48">
        <v>37</v>
      </c>
      <c r="B510" s="49">
        <v>8.8000000000000007</v>
      </c>
      <c r="C510" s="50">
        <v>48.26</v>
      </c>
      <c r="D510" s="48" t="s">
        <v>8</v>
      </c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</row>
    <row r="511" spans="1:24" ht="15.75" customHeight="1">
      <c r="A511" s="48">
        <v>37</v>
      </c>
      <c r="B511" s="49">
        <v>8.6</v>
      </c>
      <c r="C511" s="50">
        <v>43.95</v>
      </c>
      <c r="D511" s="48" t="s">
        <v>8</v>
      </c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</row>
    <row r="512" spans="1:24" ht="15.75" customHeight="1">
      <c r="A512" s="48">
        <v>37</v>
      </c>
      <c r="B512" s="49">
        <v>8.65</v>
      </c>
      <c r="C512" s="50">
        <v>91.16</v>
      </c>
      <c r="D512" s="48" t="s">
        <v>9</v>
      </c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</row>
    <row r="513" spans="1:24" ht="15.75" customHeight="1">
      <c r="A513" s="48">
        <v>37</v>
      </c>
      <c r="B513" s="49">
        <v>5.15</v>
      </c>
      <c r="C513" s="50">
        <v>36.72</v>
      </c>
      <c r="D513" s="48" t="s">
        <v>9</v>
      </c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</row>
    <row r="514" spans="1:24" ht="15.75" customHeight="1">
      <c r="A514" s="48">
        <v>37</v>
      </c>
      <c r="B514" s="49">
        <v>9.44</v>
      </c>
      <c r="C514" s="50">
        <v>61.2</v>
      </c>
      <c r="D514" s="48" t="s">
        <v>9</v>
      </c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</row>
    <row r="515" spans="1:24" ht="15.75" customHeight="1">
      <c r="A515" s="48">
        <v>37</v>
      </c>
      <c r="B515" s="49">
        <v>6.64</v>
      </c>
      <c r="C515" s="50">
        <v>66.959999999999994</v>
      </c>
      <c r="D515" s="48" t="s">
        <v>9</v>
      </c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</row>
    <row r="516" spans="1:24" ht="15.75" customHeight="1">
      <c r="A516" s="48">
        <v>37</v>
      </c>
      <c r="B516" s="49">
        <v>2.2999999999999998</v>
      </c>
      <c r="C516" s="50">
        <v>39.54</v>
      </c>
      <c r="D516" s="48" t="s">
        <v>9</v>
      </c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</row>
    <row r="517" spans="1:24" ht="15.75" customHeight="1">
      <c r="A517" s="48">
        <v>37</v>
      </c>
      <c r="B517" s="49">
        <v>3.3</v>
      </c>
      <c r="C517" s="50">
        <v>43.28</v>
      </c>
      <c r="D517" s="48" t="s">
        <v>9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</row>
    <row r="518" spans="1:24" ht="15.75" customHeight="1">
      <c r="A518" s="48">
        <v>38</v>
      </c>
      <c r="B518" s="49">
        <v>6.82</v>
      </c>
      <c r="C518" s="50">
        <v>48.26</v>
      </c>
      <c r="D518" s="48" t="s">
        <v>8</v>
      </c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</row>
    <row r="519" spans="1:24" ht="15.75" customHeight="1">
      <c r="A519" s="48">
        <v>38</v>
      </c>
      <c r="B519" s="49">
        <v>4.57</v>
      </c>
      <c r="C519" s="50">
        <v>48.26</v>
      </c>
      <c r="D519" s="48" t="s">
        <v>8</v>
      </c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</row>
    <row r="520" spans="1:24" ht="15.75" customHeight="1">
      <c r="A520" s="48">
        <v>38</v>
      </c>
      <c r="B520" s="49">
        <v>7.34</v>
      </c>
      <c r="C520" s="50">
        <v>48.26</v>
      </c>
      <c r="D520" s="48" t="s">
        <v>8</v>
      </c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</row>
    <row r="521" spans="1:24" ht="15.75" customHeight="1">
      <c r="A521" s="48">
        <v>38</v>
      </c>
      <c r="B521" s="49">
        <v>4.28</v>
      </c>
      <c r="C521" s="50">
        <v>48.26</v>
      </c>
      <c r="D521" s="48" t="s">
        <v>8</v>
      </c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</row>
    <row r="522" spans="1:24" ht="15.75" customHeight="1">
      <c r="A522" s="48">
        <v>38</v>
      </c>
      <c r="B522" s="49">
        <v>8.2200000000000006</v>
      </c>
      <c r="C522" s="50">
        <v>80.31</v>
      </c>
      <c r="D522" s="48" t="s">
        <v>8</v>
      </c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</row>
    <row r="523" spans="1:24" ht="15.75" customHeight="1">
      <c r="A523" s="48">
        <v>38</v>
      </c>
      <c r="B523" s="49">
        <v>8.39</v>
      </c>
      <c r="C523" s="50">
        <v>27.64</v>
      </c>
      <c r="D523" s="48" t="s">
        <v>8</v>
      </c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</row>
    <row r="524" spans="1:24" ht="15.75" customHeight="1">
      <c r="A524" s="48">
        <v>38</v>
      </c>
      <c r="B524" s="49">
        <v>8.75</v>
      </c>
      <c r="C524" s="50">
        <v>88.53</v>
      </c>
      <c r="D524" s="48" t="s">
        <v>8</v>
      </c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</row>
    <row r="525" spans="1:24" ht="15.75" customHeight="1">
      <c r="A525" s="48">
        <v>38</v>
      </c>
      <c r="B525" s="49">
        <v>7.21</v>
      </c>
      <c r="C525" s="50">
        <v>86.23</v>
      </c>
      <c r="D525" s="48" t="s">
        <v>8</v>
      </c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</row>
    <row r="526" spans="1:24" ht="15.75" customHeight="1">
      <c r="A526" s="48">
        <v>38</v>
      </c>
      <c r="B526" s="49">
        <v>5.5</v>
      </c>
      <c r="C526" s="50">
        <v>42.01</v>
      </c>
      <c r="D526" s="48" t="s">
        <v>8</v>
      </c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</row>
    <row r="527" spans="1:24" ht="15.75" customHeight="1">
      <c r="A527" s="48">
        <v>38</v>
      </c>
      <c r="B527" s="49">
        <v>8.56</v>
      </c>
      <c r="C527" s="50">
        <v>103.65</v>
      </c>
      <c r="D527" s="48" t="s">
        <v>9</v>
      </c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</row>
    <row r="528" spans="1:24" ht="15.75" customHeight="1">
      <c r="A528" s="48">
        <v>38</v>
      </c>
      <c r="B528" s="49">
        <v>4.75</v>
      </c>
      <c r="C528" s="50">
        <v>51</v>
      </c>
      <c r="D528" s="48" t="s">
        <v>8</v>
      </c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</row>
    <row r="529" spans="1:24" ht="15.75" customHeight="1">
      <c r="A529" s="48">
        <v>38</v>
      </c>
      <c r="B529" s="49">
        <v>7.31</v>
      </c>
      <c r="C529" s="50">
        <v>51.36</v>
      </c>
      <c r="D529" s="48" t="s">
        <v>9</v>
      </c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</row>
    <row r="530" spans="1:24" ht="15.75" customHeight="1">
      <c r="A530" s="48">
        <v>38</v>
      </c>
      <c r="B530" s="49">
        <v>9.24</v>
      </c>
      <c r="C530" s="50">
        <v>91.7</v>
      </c>
      <c r="D530" s="48" t="s">
        <v>9</v>
      </c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</row>
    <row r="531" spans="1:24" ht="15.75" customHeight="1">
      <c r="A531" s="48">
        <v>38</v>
      </c>
      <c r="B531" s="49">
        <v>9.8800000000000008</v>
      </c>
      <c r="C531" s="50">
        <v>51.89</v>
      </c>
      <c r="D531" s="48" t="s">
        <v>9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</row>
    <row r="532" spans="1:24" ht="15.75" customHeight="1">
      <c r="A532" s="48">
        <v>38</v>
      </c>
      <c r="B532" s="49">
        <v>7.81</v>
      </c>
      <c r="C532" s="50">
        <v>44.39</v>
      </c>
      <c r="D532" s="48" t="s">
        <v>9</v>
      </c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</row>
    <row r="533" spans="1:24" ht="15.75" customHeight="1">
      <c r="A533" s="48">
        <v>38</v>
      </c>
      <c r="B533" s="49">
        <v>6.02</v>
      </c>
      <c r="C533" s="50">
        <v>45.03</v>
      </c>
      <c r="D533" s="48" t="s">
        <v>9</v>
      </c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</row>
    <row r="534" spans="1:24" ht="15.75" customHeight="1">
      <c r="A534" s="48">
        <v>38</v>
      </c>
      <c r="B534" s="49">
        <v>4.92</v>
      </c>
      <c r="C534" s="50">
        <v>38.86</v>
      </c>
      <c r="D534" s="48" t="s">
        <v>9</v>
      </c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</row>
    <row r="535" spans="1:24" ht="15.75" customHeight="1">
      <c r="A535" s="48">
        <v>38</v>
      </c>
      <c r="B535" s="49">
        <v>6.92</v>
      </c>
      <c r="C535" s="50">
        <v>50.8</v>
      </c>
      <c r="D535" s="48" t="s">
        <v>9</v>
      </c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</row>
    <row r="536" spans="1:24" ht="15.75" customHeight="1">
      <c r="A536" s="48">
        <v>38</v>
      </c>
      <c r="B536" s="49">
        <v>3.6</v>
      </c>
      <c r="C536" s="50">
        <v>48.57</v>
      </c>
      <c r="D536" s="48" t="s">
        <v>9</v>
      </c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</row>
    <row r="537" spans="1:24" ht="15.75" customHeight="1">
      <c r="A537" s="48">
        <v>39</v>
      </c>
      <c r="B537" s="49">
        <v>5.47</v>
      </c>
      <c r="C537" s="50">
        <v>48.26</v>
      </c>
      <c r="D537" s="48" t="s">
        <v>8</v>
      </c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</row>
    <row r="538" spans="1:24" ht="15.75" customHeight="1">
      <c r="A538" s="48">
        <v>39</v>
      </c>
      <c r="B538" s="49">
        <v>8.93</v>
      </c>
      <c r="C538" s="50">
        <v>48.26</v>
      </c>
      <c r="D538" s="48" t="s">
        <v>8</v>
      </c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</row>
    <row r="539" spans="1:24" ht="15.75" customHeight="1">
      <c r="A539" s="48">
        <v>39</v>
      </c>
      <c r="B539" s="49">
        <v>8.02</v>
      </c>
      <c r="C539" s="50">
        <v>62.53</v>
      </c>
      <c r="D539" s="48" t="s">
        <v>8</v>
      </c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</row>
    <row r="540" spans="1:24" ht="15.75" customHeight="1">
      <c r="A540" s="48">
        <v>39</v>
      </c>
      <c r="B540" s="49">
        <v>5.38</v>
      </c>
      <c r="C540" s="50">
        <v>46.56</v>
      </c>
      <c r="D540" s="48" t="s">
        <v>8</v>
      </c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</row>
    <row r="541" spans="1:24" ht="15.75" customHeight="1">
      <c r="A541" s="48">
        <v>39</v>
      </c>
      <c r="B541" s="49">
        <v>7.98</v>
      </c>
      <c r="C541" s="50">
        <v>55.94</v>
      </c>
      <c r="D541" s="48" t="s">
        <v>9</v>
      </c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</row>
    <row r="542" spans="1:24" ht="15.75" customHeight="1">
      <c r="A542" s="48">
        <v>39</v>
      </c>
      <c r="B542" s="49">
        <v>7.07</v>
      </c>
      <c r="C542" s="50">
        <v>48.18</v>
      </c>
      <c r="D542" s="48" t="s">
        <v>9</v>
      </c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</row>
    <row r="543" spans="1:24" ht="15.75" customHeight="1">
      <c r="A543" s="48">
        <v>39</v>
      </c>
      <c r="B543" s="49">
        <v>3</v>
      </c>
      <c r="C543" s="50">
        <v>58.89</v>
      </c>
      <c r="D543" s="48" t="s">
        <v>9</v>
      </c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</row>
    <row r="544" spans="1:24" ht="15.75" customHeight="1">
      <c r="A544" s="48">
        <v>39</v>
      </c>
      <c r="B544" s="49">
        <v>2.1</v>
      </c>
      <c r="C544" s="50">
        <v>43.17</v>
      </c>
      <c r="D544" s="48" t="s">
        <v>9</v>
      </c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</row>
    <row r="545" spans="1:24" ht="15.75" customHeight="1">
      <c r="A545" s="48">
        <v>39</v>
      </c>
      <c r="B545" s="49">
        <v>12.5</v>
      </c>
      <c r="C545" s="50">
        <v>105.61</v>
      </c>
      <c r="D545" s="48" t="s">
        <v>9</v>
      </c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</row>
    <row r="546" spans="1:24" ht="15.75" customHeight="1">
      <c r="A546" s="48">
        <v>40</v>
      </c>
      <c r="B546" s="49">
        <v>6.96</v>
      </c>
      <c r="C546" s="50">
        <v>48.26</v>
      </c>
      <c r="D546" s="48" t="s">
        <v>8</v>
      </c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</row>
    <row r="547" spans="1:24" ht="15.75" customHeight="1">
      <c r="A547" s="48">
        <v>40</v>
      </c>
      <c r="B547" s="49">
        <v>4.4400000000000004</v>
      </c>
      <c r="C547" s="50">
        <v>24.63</v>
      </c>
      <c r="D547" s="48" t="s">
        <v>8</v>
      </c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</row>
    <row r="548" spans="1:24" ht="15.75" customHeight="1">
      <c r="A548" s="48">
        <v>40</v>
      </c>
      <c r="B548" s="49">
        <v>9.27</v>
      </c>
      <c r="C548" s="50">
        <v>55.3</v>
      </c>
      <c r="D548" s="48" t="s">
        <v>9</v>
      </c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</row>
    <row r="549" spans="1:24" ht="15.75" customHeight="1">
      <c r="A549" s="48">
        <v>40</v>
      </c>
      <c r="B549" s="49">
        <v>5.5</v>
      </c>
      <c r="C549" s="50">
        <v>70.36</v>
      </c>
      <c r="D549" s="48" t="s">
        <v>9</v>
      </c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</row>
    <row r="550" spans="1:24" ht="15.75" customHeight="1">
      <c r="A550" s="48">
        <v>40</v>
      </c>
      <c r="B550" s="49">
        <v>9.2100000000000009</v>
      </c>
      <c r="C550" s="50">
        <v>67.63</v>
      </c>
      <c r="D550" s="48" t="s">
        <v>9</v>
      </c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</row>
    <row r="551" spans="1:24" ht="15.75" customHeight="1">
      <c r="A551" s="48">
        <v>40</v>
      </c>
      <c r="B551" s="49">
        <v>8.6999999999999993</v>
      </c>
      <c r="C551" s="50">
        <v>66.56</v>
      </c>
      <c r="D551" s="48" t="s">
        <v>9</v>
      </c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</row>
    <row r="552" spans="1:24" ht="15.75" customHeight="1">
      <c r="A552" s="48">
        <v>40</v>
      </c>
      <c r="B552" s="49">
        <v>10.6</v>
      </c>
      <c r="C552" s="50">
        <v>80</v>
      </c>
      <c r="D552" s="48" t="s">
        <v>9</v>
      </c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</row>
    <row r="553" spans="1:24" ht="15.75" customHeight="1">
      <c r="A553" s="48">
        <v>40</v>
      </c>
      <c r="B553" s="49">
        <v>12.1</v>
      </c>
      <c r="C553" s="50">
        <v>94.07</v>
      </c>
      <c r="D553" s="48" t="s">
        <v>9</v>
      </c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</row>
    <row r="554" spans="1:24" ht="15.75" customHeight="1">
      <c r="A554" s="48">
        <v>41</v>
      </c>
      <c r="B554" s="49">
        <v>9.23</v>
      </c>
      <c r="C554" s="50">
        <v>48.26</v>
      </c>
      <c r="D554" s="48" t="s">
        <v>8</v>
      </c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</row>
    <row r="555" spans="1:24" ht="15.75" customHeight="1">
      <c r="A555" s="48">
        <v>41</v>
      </c>
      <c r="B555" s="49">
        <v>5.14</v>
      </c>
      <c r="C555" s="50">
        <v>48.26</v>
      </c>
      <c r="D555" s="48" t="s">
        <v>8</v>
      </c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</row>
    <row r="556" spans="1:24" ht="15.75" customHeight="1">
      <c r="A556" s="48">
        <v>41</v>
      </c>
      <c r="B556" s="49">
        <v>8.68</v>
      </c>
      <c r="C556" s="50">
        <v>67.36</v>
      </c>
      <c r="D556" s="48" t="s">
        <v>8</v>
      </c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</row>
    <row r="557" spans="1:24" ht="15.75" customHeight="1">
      <c r="A557" s="48">
        <v>41</v>
      </c>
      <c r="B557" s="49">
        <v>7.05</v>
      </c>
      <c r="C557" s="50">
        <v>48.83</v>
      </c>
      <c r="D557" s="48" t="s">
        <v>8</v>
      </c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</row>
    <row r="558" spans="1:24" ht="15.75" customHeight="1">
      <c r="A558" s="48">
        <v>41</v>
      </c>
      <c r="B558" s="49">
        <v>5.74</v>
      </c>
      <c r="C558" s="50">
        <v>77.319999999999993</v>
      </c>
      <c r="D558" s="48" t="s">
        <v>9</v>
      </c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</row>
    <row r="559" spans="1:24" ht="15.75" customHeight="1">
      <c r="A559" s="48">
        <v>41</v>
      </c>
      <c r="B559" s="49">
        <v>4.6399999999999997</v>
      </c>
      <c r="C559" s="50">
        <v>38.450000000000003</v>
      </c>
      <c r="D559" s="48" t="s">
        <v>9</v>
      </c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</row>
    <row r="560" spans="1:24" ht="15.75" customHeight="1">
      <c r="A560" s="48">
        <v>41</v>
      </c>
      <c r="B560" s="49">
        <v>8.19</v>
      </c>
      <c r="C560" s="50">
        <v>70.88</v>
      </c>
      <c r="D560" s="48" t="s">
        <v>9</v>
      </c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</row>
    <row r="561" spans="1:24" ht="15.75" customHeight="1">
      <c r="A561" s="48">
        <v>41</v>
      </c>
      <c r="B561" s="49">
        <v>11.7</v>
      </c>
      <c r="C561" s="50">
        <v>93.63</v>
      </c>
      <c r="D561" s="48" t="s">
        <v>9</v>
      </c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</row>
    <row r="562" spans="1:24" ht="15.75" customHeight="1">
      <c r="A562" s="48">
        <v>41</v>
      </c>
      <c r="B562" s="49">
        <v>12.5</v>
      </c>
      <c r="C562" s="50">
        <v>99.72</v>
      </c>
      <c r="D562" s="48" t="s">
        <v>9</v>
      </c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</row>
    <row r="563" spans="1:24" ht="15.75" customHeight="1">
      <c r="A563" s="48">
        <v>41</v>
      </c>
      <c r="B563" s="49">
        <v>11.1</v>
      </c>
      <c r="C563" s="50">
        <v>67.2</v>
      </c>
      <c r="D563" s="48" t="s">
        <v>9</v>
      </c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</row>
    <row r="564" spans="1:24" ht="15.75" customHeight="1">
      <c r="A564" s="48">
        <v>41</v>
      </c>
      <c r="B564" s="49">
        <v>12.5</v>
      </c>
      <c r="C564" s="50">
        <v>100.55</v>
      </c>
      <c r="D564" s="48" t="s">
        <v>9</v>
      </c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</row>
    <row r="565" spans="1:24" ht="15.75" customHeight="1">
      <c r="A565" s="48">
        <v>42</v>
      </c>
      <c r="B565" s="49">
        <v>7.52</v>
      </c>
      <c r="C565" s="50">
        <v>48.26</v>
      </c>
      <c r="D565" s="48" t="s">
        <v>8</v>
      </c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</row>
    <row r="566" spans="1:24" ht="15.75" customHeight="1">
      <c r="A566" s="48">
        <v>42</v>
      </c>
      <c r="B566" s="49">
        <v>7.68</v>
      </c>
      <c r="C566" s="50">
        <v>70.06</v>
      </c>
      <c r="D566" s="48" t="s">
        <v>8</v>
      </c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</row>
    <row r="567" spans="1:24" ht="15.75" customHeight="1">
      <c r="A567" s="48">
        <v>42</v>
      </c>
      <c r="B567" s="49">
        <v>7.06</v>
      </c>
      <c r="C567" s="50">
        <v>86.68</v>
      </c>
      <c r="D567" s="48" t="s">
        <v>8</v>
      </c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</row>
    <row r="568" spans="1:24" ht="15.75" customHeight="1">
      <c r="A568" s="48">
        <v>42</v>
      </c>
      <c r="B568" s="49">
        <v>7.33</v>
      </c>
      <c r="C568" s="50">
        <v>84.13</v>
      </c>
      <c r="D568" s="48" t="s">
        <v>9</v>
      </c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</row>
    <row r="569" spans="1:24" ht="15.75" customHeight="1">
      <c r="A569" s="48">
        <v>42</v>
      </c>
      <c r="B569" s="49">
        <v>6.71</v>
      </c>
      <c r="C569" s="50">
        <v>70.739999999999995</v>
      </c>
      <c r="D569" s="48" t="s">
        <v>9</v>
      </c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</row>
    <row r="570" spans="1:24" ht="15.75" customHeight="1">
      <c r="A570" s="48">
        <v>42</v>
      </c>
      <c r="B570" s="49">
        <v>7.67</v>
      </c>
      <c r="C570" s="50">
        <v>58.01</v>
      </c>
      <c r="D570" s="48" t="s">
        <v>9</v>
      </c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</row>
    <row r="571" spans="1:24" ht="15.75" customHeight="1">
      <c r="A571" s="48">
        <v>42</v>
      </c>
      <c r="B571" s="49">
        <v>6.73</v>
      </c>
      <c r="C571" s="50">
        <v>67.739999999999995</v>
      </c>
      <c r="D571" s="48" t="s">
        <v>9</v>
      </c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</row>
    <row r="572" spans="1:24" ht="15.75" customHeight="1">
      <c r="A572" s="48">
        <v>42</v>
      </c>
      <c r="B572" s="49">
        <v>5.61</v>
      </c>
      <c r="C572" s="50">
        <v>47.22</v>
      </c>
      <c r="D572" s="48" t="s">
        <v>9</v>
      </c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</row>
    <row r="573" spans="1:24" ht="15.75" customHeight="1">
      <c r="A573" s="48">
        <v>42</v>
      </c>
      <c r="B573" s="49">
        <v>8.68</v>
      </c>
      <c r="C573" s="50">
        <v>42.13</v>
      </c>
      <c r="D573" s="48" t="s">
        <v>9</v>
      </c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</row>
    <row r="574" spans="1:24" ht="15.75" customHeight="1">
      <c r="A574" s="48">
        <v>42</v>
      </c>
      <c r="B574" s="49">
        <v>3.3</v>
      </c>
      <c r="C574" s="50">
        <v>41.24</v>
      </c>
      <c r="D574" s="48" t="s">
        <v>9</v>
      </c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</row>
    <row r="575" spans="1:24" ht="15.75" customHeight="1">
      <c r="A575" s="48">
        <v>43</v>
      </c>
      <c r="B575" s="49">
        <v>5.03</v>
      </c>
      <c r="C575" s="50">
        <v>48.26</v>
      </c>
      <c r="D575" s="48" t="s">
        <v>8</v>
      </c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</row>
    <row r="576" spans="1:24" ht="15.75" customHeight="1">
      <c r="A576" s="48">
        <v>43</v>
      </c>
      <c r="B576" s="49">
        <v>5.56</v>
      </c>
      <c r="C576" s="50">
        <v>48.26</v>
      </c>
      <c r="D576" s="48" t="s">
        <v>8</v>
      </c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</row>
    <row r="577" spans="1:24" ht="15.75" customHeight="1">
      <c r="A577" s="48">
        <v>43</v>
      </c>
      <c r="B577" s="49">
        <v>9.27</v>
      </c>
      <c r="C577" s="50">
        <v>63.57</v>
      </c>
      <c r="D577" s="48" t="s">
        <v>8</v>
      </c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</row>
    <row r="578" spans="1:24" ht="15.75" customHeight="1">
      <c r="A578" s="48">
        <v>43</v>
      </c>
      <c r="B578" s="49">
        <v>4.68</v>
      </c>
      <c r="C578" s="50">
        <v>50.07</v>
      </c>
      <c r="D578" s="48" t="s">
        <v>8</v>
      </c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</row>
    <row r="579" spans="1:24" ht="15.75" customHeight="1">
      <c r="A579" s="48">
        <v>43</v>
      </c>
      <c r="B579" s="49">
        <v>9.01</v>
      </c>
      <c r="C579" s="50">
        <v>61.06</v>
      </c>
      <c r="D579" s="48" t="s">
        <v>8</v>
      </c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</row>
    <row r="580" spans="1:24" ht="15.75" customHeight="1">
      <c r="A580" s="48">
        <v>43</v>
      </c>
      <c r="B580" s="49">
        <v>7</v>
      </c>
      <c r="C580" s="50">
        <v>38.090000000000003</v>
      </c>
      <c r="D580" s="48" t="s">
        <v>9</v>
      </c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</row>
    <row r="581" spans="1:24" ht="15.75" customHeight="1">
      <c r="A581" s="48">
        <v>43</v>
      </c>
      <c r="B581" s="49">
        <v>8.85</v>
      </c>
      <c r="C581" s="50">
        <v>66.16</v>
      </c>
      <c r="D581" s="48" t="s">
        <v>9</v>
      </c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</row>
    <row r="582" spans="1:24" ht="15.75" customHeight="1">
      <c r="A582" s="48">
        <v>43</v>
      </c>
      <c r="B582" s="49">
        <v>9.18</v>
      </c>
      <c r="C582" s="50">
        <v>65.19</v>
      </c>
      <c r="D582" s="48" t="s">
        <v>9</v>
      </c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</row>
    <row r="583" spans="1:24" ht="15.75" customHeight="1">
      <c r="A583" s="48">
        <v>43</v>
      </c>
      <c r="B583" s="49">
        <v>6.23</v>
      </c>
      <c r="C583" s="50">
        <v>42.26</v>
      </c>
      <c r="D583" s="48" t="s">
        <v>9</v>
      </c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</row>
    <row r="584" spans="1:24" ht="15.75" customHeight="1">
      <c r="A584" s="48">
        <v>43</v>
      </c>
      <c r="B584" s="49">
        <v>4</v>
      </c>
      <c r="C584" s="50">
        <v>18.28</v>
      </c>
      <c r="D584" s="48" t="s">
        <v>9</v>
      </c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</row>
    <row r="585" spans="1:24" ht="15.75" customHeight="1">
      <c r="A585" s="48">
        <v>44</v>
      </c>
      <c r="B585" s="49">
        <v>9.9600000000000009</v>
      </c>
      <c r="C585" s="50">
        <v>78.3</v>
      </c>
      <c r="D585" s="48" t="s">
        <v>8</v>
      </c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</row>
    <row r="586" spans="1:24" ht="15.75" customHeight="1">
      <c r="A586" s="48">
        <v>44</v>
      </c>
      <c r="B586" s="49">
        <v>6.44</v>
      </c>
      <c r="C586" s="50">
        <v>95.27</v>
      </c>
      <c r="D586" s="48" t="s">
        <v>8</v>
      </c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</row>
    <row r="587" spans="1:24" ht="15.75" customHeight="1">
      <c r="A587" s="48">
        <v>44</v>
      </c>
      <c r="B587" s="49">
        <v>8.7899999999999991</v>
      </c>
      <c r="C587" s="50">
        <v>91.53</v>
      </c>
      <c r="D587" s="48" t="s">
        <v>9</v>
      </c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</row>
    <row r="588" spans="1:24" ht="15.75" customHeight="1">
      <c r="A588" s="48">
        <v>44</v>
      </c>
      <c r="B588" s="49">
        <v>5.67</v>
      </c>
      <c r="C588" s="50">
        <v>77.45</v>
      </c>
      <c r="D588" s="48" t="s">
        <v>9</v>
      </c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</row>
    <row r="589" spans="1:24" ht="15.75" customHeight="1">
      <c r="A589" s="48">
        <v>44</v>
      </c>
      <c r="B589" s="49">
        <v>3.3</v>
      </c>
      <c r="C589" s="50">
        <v>35.11</v>
      </c>
      <c r="D589" s="48" t="s">
        <v>9</v>
      </c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</row>
    <row r="590" spans="1:24" ht="15.75" customHeight="1">
      <c r="A590" s="48">
        <v>44</v>
      </c>
      <c r="B590" s="49">
        <v>10.3</v>
      </c>
      <c r="C590" s="50">
        <v>89.49</v>
      </c>
      <c r="D590" s="48" t="s">
        <v>9</v>
      </c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</row>
    <row r="591" spans="1:24" ht="15.75" customHeight="1">
      <c r="A591" s="48">
        <v>45</v>
      </c>
      <c r="B591" s="49">
        <v>8.7100000000000009</v>
      </c>
      <c r="C591" s="50">
        <v>48.26</v>
      </c>
      <c r="D591" s="48" t="s">
        <v>8</v>
      </c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</row>
    <row r="592" spans="1:24" ht="15.75" customHeight="1">
      <c r="A592" s="48">
        <v>45</v>
      </c>
      <c r="B592" s="49">
        <v>4.59</v>
      </c>
      <c r="C592" s="50">
        <v>48.26</v>
      </c>
      <c r="D592" s="48" t="s">
        <v>8</v>
      </c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</row>
    <row r="593" spans="1:24" ht="15.75" customHeight="1">
      <c r="A593" s="48">
        <v>45</v>
      </c>
      <c r="B593" s="49">
        <v>6.06</v>
      </c>
      <c r="C593" s="50">
        <v>54.51</v>
      </c>
      <c r="D593" s="48" t="s">
        <v>9</v>
      </c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</row>
    <row r="594" spans="1:24" ht="15.75" customHeight="1">
      <c r="A594" s="48">
        <v>45</v>
      </c>
      <c r="B594" s="49">
        <v>11.8</v>
      </c>
      <c r="C594" s="50">
        <v>78.2</v>
      </c>
      <c r="D594" s="48" t="s">
        <v>9</v>
      </c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</row>
    <row r="595" spans="1:24" ht="15.75" customHeight="1">
      <c r="A595" s="48">
        <v>46</v>
      </c>
      <c r="B595" s="49">
        <v>9.93</v>
      </c>
      <c r="C595" s="50">
        <v>48.26</v>
      </c>
      <c r="D595" s="48" t="s">
        <v>8</v>
      </c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</row>
    <row r="596" spans="1:24" ht="15.75" customHeight="1">
      <c r="A596" s="48">
        <v>46</v>
      </c>
      <c r="B596" s="49">
        <v>7.22</v>
      </c>
      <c r="C596" s="50">
        <v>61.92</v>
      </c>
      <c r="D596" s="48" t="s">
        <v>8</v>
      </c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</row>
    <row r="597" spans="1:24" ht="15.75" customHeight="1">
      <c r="A597" s="48">
        <v>46</v>
      </c>
      <c r="B597" s="49">
        <v>5.45</v>
      </c>
      <c r="C597" s="50">
        <v>53</v>
      </c>
      <c r="D597" s="48" t="s">
        <v>9</v>
      </c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</row>
    <row r="598" spans="1:24" ht="15.75" customHeight="1">
      <c r="A598" s="48">
        <v>46</v>
      </c>
      <c r="B598" s="49">
        <v>8.14</v>
      </c>
      <c r="C598" s="50">
        <v>74.739999999999995</v>
      </c>
      <c r="D598" s="48" t="s">
        <v>9</v>
      </c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</row>
    <row r="599" spans="1:24" ht="15.75" customHeight="1">
      <c r="A599" s="48">
        <v>46</v>
      </c>
      <c r="B599" s="49">
        <v>9.6199999999999992</v>
      </c>
      <c r="C599" s="50">
        <v>92.89</v>
      </c>
      <c r="D599" s="48" t="s">
        <v>9</v>
      </c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</row>
    <row r="600" spans="1:24" ht="15.75" customHeight="1">
      <c r="A600" s="48">
        <v>46</v>
      </c>
      <c r="B600" s="49">
        <v>9.4700000000000006</v>
      </c>
      <c r="C600" s="50">
        <v>75.08</v>
      </c>
      <c r="D600" s="48" t="s">
        <v>9</v>
      </c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</row>
    <row r="601" spans="1:24" ht="15.75" customHeight="1">
      <c r="A601" s="48">
        <v>46</v>
      </c>
      <c r="B601" s="49">
        <v>12.2</v>
      </c>
      <c r="C601" s="50">
        <v>90.89</v>
      </c>
      <c r="D601" s="48" t="s">
        <v>9</v>
      </c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</row>
    <row r="602" spans="1:24" ht="15.75" customHeight="1">
      <c r="A602" s="48">
        <v>47</v>
      </c>
      <c r="B602" s="49">
        <v>9.2100000000000009</v>
      </c>
      <c r="C602" s="50">
        <v>62.31</v>
      </c>
      <c r="D602" s="48" t="s">
        <v>8</v>
      </c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</row>
    <row r="603" spans="1:24" ht="15.75" customHeight="1">
      <c r="A603" s="48">
        <v>47</v>
      </c>
      <c r="B603" s="49">
        <v>7.59</v>
      </c>
      <c r="C603" s="50">
        <v>83.57</v>
      </c>
      <c r="D603" s="48" t="s">
        <v>8</v>
      </c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</row>
    <row r="604" spans="1:24" ht="15.75" customHeight="1">
      <c r="A604" s="48">
        <v>47</v>
      </c>
      <c r="B604" s="49">
        <v>5.23</v>
      </c>
      <c r="C604" s="50">
        <v>40.19</v>
      </c>
      <c r="D604" s="48" t="s">
        <v>8</v>
      </c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</row>
    <row r="605" spans="1:24" ht="15.75" customHeight="1">
      <c r="A605" s="48">
        <v>47</v>
      </c>
      <c r="B605" s="49">
        <v>6.36</v>
      </c>
      <c r="C605" s="50">
        <v>67.44</v>
      </c>
      <c r="D605" s="48" t="s">
        <v>8</v>
      </c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</row>
    <row r="606" spans="1:24" ht="15.75" customHeight="1">
      <c r="A606" s="48">
        <v>47</v>
      </c>
      <c r="B606" s="49">
        <v>5.03</v>
      </c>
      <c r="C606" s="50">
        <v>31.21</v>
      </c>
      <c r="D606" s="48" t="s">
        <v>8</v>
      </c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</row>
    <row r="607" spans="1:24" ht="15.75" customHeight="1">
      <c r="A607" s="48">
        <v>47</v>
      </c>
      <c r="B607" s="49">
        <v>4.5</v>
      </c>
      <c r="C607" s="50">
        <v>64.67</v>
      </c>
      <c r="D607" s="48" t="s">
        <v>9</v>
      </c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</row>
    <row r="608" spans="1:24" ht="15.75" customHeight="1">
      <c r="A608" s="48">
        <v>47</v>
      </c>
      <c r="B608" s="49">
        <v>3.6</v>
      </c>
      <c r="C608" s="50">
        <v>30.33</v>
      </c>
      <c r="D608" s="48" t="s">
        <v>9</v>
      </c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</row>
    <row r="609" spans="1:24" ht="15.75" customHeight="1">
      <c r="A609" s="48">
        <v>48</v>
      </c>
      <c r="B609" s="49">
        <v>9.58</v>
      </c>
      <c r="C609" s="50">
        <v>48.26</v>
      </c>
      <c r="D609" s="48" t="s">
        <v>8</v>
      </c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</row>
    <row r="610" spans="1:24" ht="15.75" customHeight="1">
      <c r="A610" s="48">
        <v>48</v>
      </c>
      <c r="B610" s="49">
        <v>6.09</v>
      </c>
      <c r="C610" s="50">
        <v>65.209999999999994</v>
      </c>
      <c r="D610" s="48" t="s">
        <v>8</v>
      </c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</row>
    <row r="611" spans="1:24" ht="15.75" customHeight="1">
      <c r="A611" s="48">
        <v>48</v>
      </c>
      <c r="B611" s="49">
        <v>4</v>
      </c>
      <c r="C611" s="50">
        <v>30.62</v>
      </c>
      <c r="D611" s="48" t="s">
        <v>9</v>
      </c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</row>
    <row r="612" spans="1:24" ht="15.75" customHeight="1">
      <c r="A612" s="48">
        <v>48</v>
      </c>
      <c r="B612" s="49">
        <v>5.53</v>
      </c>
      <c r="C612" s="50">
        <v>61.26</v>
      </c>
      <c r="D612" s="48" t="s">
        <v>9</v>
      </c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</row>
    <row r="613" spans="1:24" ht="15.75" customHeight="1">
      <c r="A613" s="48">
        <v>48</v>
      </c>
      <c r="B613" s="49">
        <v>6.78</v>
      </c>
      <c r="C613" s="50">
        <v>73.25</v>
      </c>
      <c r="D613" s="48" t="s">
        <v>9</v>
      </c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</row>
    <row r="614" spans="1:24" ht="15.75" customHeight="1">
      <c r="A614" s="48">
        <v>48</v>
      </c>
      <c r="B614" s="49">
        <v>5.86</v>
      </c>
      <c r="C614" s="50">
        <v>77.989999999999995</v>
      </c>
      <c r="D614" s="48" t="s">
        <v>9</v>
      </c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</row>
    <row r="615" spans="1:24" ht="15.75" customHeight="1">
      <c r="A615" s="48">
        <v>48</v>
      </c>
      <c r="B615" s="49">
        <v>6.23</v>
      </c>
      <c r="C615" s="50">
        <v>36.51</v>
      </c>
      <c r="D615" s="48" t="s">
        <v>9</v>
      </c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</row>
    <row r="616" spans="1:24" ht="15.75" customHeight="1">
      <c r="A616" s="48">
        <v>48</v>
      </c>
      <c r="B616" s="49">
        <v>4.6900000000000004</v>
      </c>
      <c r="C616" s="50">
        <v>61.81</v>
      </c>
      <c r="D616" s="48" t="s">
        <v>9</v>
      </c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</row>
    <row r="617" spans="1:24" ht="15.75" customHeight="1">
      <c r="A617" s="48">
        <v>48</v>
      </c>
      <c r="B617" s="49">
        <v>5.93</v>
      </c>
      <c r="C617" s="50">
        <v>10.96</v>
      </c>
      <c r="D617" s="48" t="s">
        <v>9</v>
      </c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</row>
    <row r="618" spans="1:24" ht="15.75" customHeight="1">
      <c r="A618" s="48">
        <v>49</v>
      </c>
      <c r="B618" s="49">
        <v>6.76</v>
      </c>
      <c r="C618" s="50">
        <v>48.26</v>
      </c>
      <c r="D618" s="48" t="s">
        <v>8</v>
      </c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</row>
    <row r="619" spans="1:24" ht="15.75" customHeight="1">
      <c r="A619" s="48">
        <v>49</v>
      </c>
      <c r="B619" s="49">
        <v>6.69</v>
      </c>
      <c r="C619" s="50">
        <v>66.430000000000007</v>
      </c>
      <c r="D619" s="48" t="s">
        <v>9</v>
      </c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</row>
    <row r="620" spans="1:24" ht="15.75" customHeight="1">
      <c r="A620" s="48">
        <v>49</v>
      </c>
      <c r="B620" s="49">
        <v>5.61</v>
      </c>
      <c r="C620" s="50">
        <v>71.069999999999993</v>
      </c>
      <c r="D620" s="48" t="s">
        <v>9</v>
      </c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</row>
    <row r="621" spans="1:24" ht="15.75" customHeight="1">
      <c r="A621" s="48">
        <v>49</v>
      </c>
      <c r="B621" s="49">
        <v>7.37</v>
      </c>
      <c r="C621" s="50">
        <v>47.75</v>
      </c>
      <c r="D621" s="48" t="s">
        <v>9</v>
      </c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</row>
    <row r="622" spans="1:24" ht="15.75" customHeight="1">
      <c r="A622" s="48">
        <v>49</v>
      </c>
      <c r="B622" s="49">
        <v>4</v>
      </c>
      <c r="C622" s="50">
        <v>21.99</v>
      </c>
      <c r="D622" s="48" t="s">
        <v>9</v>
      </c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</row>
    <row r="623" spans="1:24" ht="15.75" customHeight="1">
      <c r="A623" s="48">
        <v>50</v>
      </c>
      <c r="B623" s="49">
        <v>5.58</v>
      </c>
      <c r="C623" s="50">
        <v>24.34</v>
      </c>
      <c r="D623" s="48" t="s">
        <v>9</v>
      </c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</row>
    <row r="624" spans="1:24" ht="15.75" customHeight="1">
      <c r="A624" s="48">
        <v>50</v>
      </c>
      <c r="B624" s="49">
        <v>6.18</v>
      </c>
      <c r="C624" s="50">
        <v>31.57</v>
      </c>
      <c r="D624" s="48" t="s">
        <v>9</v>
      </c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</row>
    <row r="625" spans="1:24" ht="15.75" customHeight="1">
      <c r="A625" s="48">
        <v>50</v>
      </c>
      <c r="B625" s="49">
        <v>8.42</v>
      </c>
      <c r="C625" s="50">
        <v>88.33</v>
      </c>
      <c r="D625" s="48" t="s">
        <v>9</v>
      </c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</row>
    <row r="626" spans="1:24" ht="15.75" customHeight="1">
      <c r="A626" s="48">
        <v>50</v>
      </c>
      <c r="B626" s="49">
        <v>5.21</v>
      </c>
      <c r="C626" s="50">
        <v>92.88</v>
      </c>
      <c r="D626" s="48" t="s">
        <v>9</v>
      </c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</row>
    <row r="627" spans="1:24" ht="15.75" customHeight="1">
      <c r="A627" s="48">
        <v>50</v>
      </c>
      <c r="B627" s="49">
        <v>1.7</v>
      </c>
      <c r="C627" s="50">
        <v>17.32</v>
      </c>
      <c r="D627" s="48" t="s">
        <v>9</v>
      </c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</row>
    <row r="628" spans="1:24" ht="15.75" customHeight="1">
      <c r="A628" s="48">
        <v>51</v>
      </c>
      <c r="B628" s="49">
        <v>6.86</v>
      </c>
      <c r="C628" s="50">
        <v>74.760000000000005</v>
      </c>
      <c r="D628" s="48" t="s">
        <v>8</v>
      </c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</row>
    <row r="629" spans="1:24" ht="15.75" customHeight="1">
      <c r="A629" s="48">
        <v>51</v>
      </c>
      <c r="B629" s="49">
        <v>5.25</v>
      </c>
      <c r="C629" s="50">
        <v>44.82</v>
      </c>
      <c r="D629" s="48" t="s">
        <v>8</v>
      </c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</row>
    <row r="630" spans="1:24" ht="15.75" customHeight="1">
      <c r="A630" s="48">
        <v>51</v>
      </c>
      <c r="B630" s="49">
        <v>8.34</v>
      </c>
      <c r="C630" s="50">
        <v>70.430000000000007</v>
      </c>
      <c r="D630" s="48" t="s">
        <v>9</v>
      </c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</row>
    <row r="631" spans="1:24" ht="15.75" customHeight="1">
      <c r="A631" s="48">
        <v>51</v>
      </c>
      <c r="B631" s="49">
        <v>7.45</v>
      </c>
      <c r="C631" s="50">
        <v>62.85</v>
      </c>
      <c r="D631" s="48" t="s">
        <v>9</v>
      </c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</row>
    <row r="632" spans="1:24" ht="15.75" customHeight="1">
      <c r="A632" s="48">
        <v>51</v>
      </c>
      <c r="B632" s="49">
        <v>7.45</v>
      </c>
      <c r="C632" s="50">
        <v>35.75</v>
      </c>
      <c r="D632" s="48" t="s">
        <v>9</v>
      </c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</row>
    <row r="633" spans="1:24" ht="15.75" customHeight="1">
      <c r="A633" s="48">
        <v>51</v>
      </c>
      <c r="B633" s="49">
        <v>4.96</v>
      </c>
      <c r="C633" s="50">
        <v>35.53</v>
      </c>
      <c r="D633" s="48" t="s">
        <v>9</v>
      </c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</row>
    <row r="634" spans="1:24" ht="15.75" customHeight="1">
      <c r="A634" s="48">
        <v>51</v>
      </c>
      <c r="B634" s="49">
        <v>6.46</v>
      </c>
      <c r="C634" s="50">
        <v>69.069999999999993</v>
      </c>
      <c r="D634" s="48" t="s">
        <v>9</v>
      </c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</row>
    <row r="635" spans="1:24" ht="15.75" customHeight="1">
      <c r="A635" s="48">
        <v>51</v>
      </c>
      <c r="B635" s="49">
        <v>11.5</v>
      </c>
      <c r="C635" s="50">
        <v>118.49</v>
      </c>
      <c r="D635" s="48" t="s">
        <v>9</v>
      </c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</row>
    <row r="636" spans="1:24" ht="15.75" customHeight="1">
      <c r="A636" s="48">
        <v>52</v>
      </c>
      <c r="B636" s="49">
        <v>6.17</v>
      </c>
      <c r="C636" s="50">
        <v>48.26</v>
      </c>
      <c r="D636" s="48" t="s">
        <v>8</v>
      </c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</row>
    <row r="637" spans="1:24" ht="15.75" customHeight="1">
      <c r="A637" s="48">
        <v>52</v>
      </c>
      <c r="B637" s="49">
        <v>4.1399999999999997</v>
      </c>
      <c r="C637" s="50">
        <v>36.58</v>
      </c>
      <c r="D637" s="48" t="s">
        <v>9</v>
      </c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</row>
    <row r="638" spans="1:24" ht="15.75" customHeight="1">
      <c r="A638" s="48">
        <v>52</v>
      </c>
      <c r="B638" s="49">
        <v>5.58</v>
      </c>
      <c r="C638" s="50">
        <v>50.66</v>
      </c>
      <c r="D638" s="48" t="s">
        <v>9</v>
      </c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</row>
    <row r="639" spans="1:24" ht="15.75" customHeight="1">
      <c r="A639" s="48">
        <v>52</v>
      </c>
      <c r="B639" s="49">
        <v>4.03</v>
      </c>
      <c r="C639" s="50">
        <v>25.68</v>
      </c>
      <c r="D639" s="48" t="s">
        <v>9</v>
      </c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</row>
    <row r="640" spans="1:24" ht="15.75" customHeight="1">
      <c r="A640" s="48">
        <v>53</v>
      </c>
      <c r="B640" s="49">
        <v>8.7200000000000006</v>
      </c>
      <c r="C640" s="50">
        <v>48.26</v>
      </c>
      <c r="D640" s="48" t="s">
        <v>8</v>
      </c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</row>
    <row r="641" spans="1:24" ht="15.75" customHeight="1">
      <c r="A641" s="48">
        <v>53</v>
      </c>
      <c r="B641" s="49">
        <v>8.0500000000000007</v>
      </c>
      <c r="C641" s="50">
        <v>99.96</v>
      </c>
      <c r="D641" s="48" t="s">
        <v>9</v>
      </c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</row>
    <row r="642" spans="1:24" ht="15.75" customHeight="1">
      <c r="A642" s="48">
        <v>54</v>
      </c>
      <c r="B642" s="49">
        <v>4.32</v>
      </c>
      <c r="C642" s="50">
        <v>48.26</v>
      </c>
      <c r="D642" s="48" t="s">
        <v>8</v>
      </c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</row>
    <row r="643" spans="1:24" ht="15.75" customHeight="1">
      <c r="A643" s="48">
        <v>54</v>
      </c>
      <c r="B643" s="49">
        <v>7.58</v>
      </c>
      <c r="C643" s="50">
        <v>44.09</v>
      </c>
      <c r="D643" s="48" t="s">
        <v>8</v>
      </c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</row>
    <row r="644" spans="1:24" ht="15.75" customHeight="1">
      <c r="A644" s="48">
        <v>54</v>
      </c>
      <c r="B644" s="49">
        <v>9.6199999999999992</v>
      </c>
      <c r="C644" s="50">
        <v>67.069999999999993</v>
      </c>
      <c r="D644" s="48" t="s">
        <v>9</v>
      </c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</row>
    <row r="645" spans="1:24" ht="15.75" customHeight="1">
      <c r="A645" s="48">
        <v>55</v>
      </c>
      <c r="B645" s="49">
        <v>8.69</v>
      </c>
      <c r="C645" s="50">
        <v>72.78</v>
      </c>
      <c r="D645" s="48" t="s">
        <v>9</v>
      </c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</row>
    <row r="646" spans="1:24" ht="15.75" customHeight="1">
      <c r="A646" s="48">
        <v>56</v>
      </c>
      <c r="B646" s="49">
        <v>6.51</v>
      </c>
      <c r="C646" s="50">
        <v>67.02</v>
      </c>
      <c r="D646" s="48" t="s">
        <v>9</v>
      </c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</row>
    <row r="647" spans="1:24" ht="15.75" customHeight="1">
      <c r="A647" s="48">
        <v>57</v>
      </c>
      <c r="B647" s="49">
        <v>5.85</v>
      </c>
      <c r="C647" s="50">
        <v>28.16</v>
      </c>
      <c r="D647" s="48" t="s">
        <v>9</v>
      </c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</row>
    <row r="648" spans="1:24" ht="15.75" customHeight="1">
      <c r="A648" s="48">
        <v>57</v>
      </c>
      <c r="B648" s="49">
        <v>5.96</v>
      </c>
      <c r="C648" s="50">
        <v>84.26</v>
      </c>
      <c r="D648" s="48" t="s">
        <v>9</v>
      </c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</row>
    <row r="649" spans="1:24" ht="15.75" customHeight="1">
      <c r="A649" s="48">
        <v>57</v>
      </c>
      <c r="B649" s="49">
        <v>2.7</v>
      </c>
      <c r="C649" s="50">
        <v>16.579999999999998</v>
      </c>
      <c r="D649" s="48" t="s">
        <v>9</v>
      </c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</row>
    <row r="650" spans="1:24" ht="15.75" customHeight="1">
      <c r="A650" s="48">
        <v>57</v>
      </c>
      <c r="B650" s="49">
        <v>13</v>
      </c>
      <c r="C650" s="50">
        <v>67.31</v>
      </c>
      <c r="D650" s="48" t="s">
        <v>9</v>
      </c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</row>
    <row r="651" spans="1:24" ht="15.75" customHeight="1">
      <c r="A651" s="48">
        <v>58</v>
      </c>
      <c r="B651" s="49">
        <v>5.36</v>
      </c>
      <c r="C651" s="50">
        <v>48.26</v>
      </c>
      <c r="D651" s="48" t="s">
        <v>8</v>
      </c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</row>
    <row r="652" spans="1:24" ht="15.75" customHeight="1">
      <c r="A652" s="48">
        <v>59</v>
      </c>
      <c r="B652" s="49">
        <v>8.5399999999999991</v>
      </c>
      <c r="C652" s="50">
        <v>42.33</v>
      </c>
      <c r="D652" s="48" t="s">
        <v>8</v>
      </c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</row>
    <row r="653" spans="1:24" ht="15.75" customHeight="1">
      <c r="A653" s="48">
        <v>60</v>
      </c>
      <c r="B653" s="49">
        <v>4.6900000000000004</v>
      </c>
      <c r="C653" s="50">
        <v>46.24</v>
      </c>
      <c r="D653" s="48" t="s">
        <v>8</v>
      </c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</row>
    <row r="654" spans="1:24" ht="15.75" customHeight="1">
      <c r="A654" s="48">
        <v>62</v>
      </c>
      <c r="B654" s="49">
        <v>9.91</v>
      </c>
      <c r="C654" s="50">
        <v>48.26</v>
      </c>
      <c r="D654" s="48" t="s">
        <v>8</v>
      </c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</row>
    <row r="655" spans="1:24" ht="15.75" customHeight="1">
      <c r="A655" s="48">
        <v>63</v>
      </c>
      <c r="B655" s="49">
        <v>8.5500000000000007</v>
      </c>
      <c r="C655" s="50">
        <v>39.17</v>
      </c>
      <c r="D655" s="48" t="s">
        <v>8</v>
      </c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</row>
    <row r="656" spans="1:24" ht="15.75" customHeight="1">
      <c r="A656" s="48">
        <v>64</v>
      </c>
      <c r="B656" s="49">
        <v>8.08</v>
      </c>
      <c r="C656" s="50">
        <v>89.18</v>
      </c>
      <c r="D656" s="48" t="s">
        <v>9</v>
      </c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</row>
    <row r="657" spans="1:24" ht="15.75" customHeight="1">
      <c r="A657" s="48">
        <v>67</v>
      </c>
      <c r="B657" s="49">
        <v>4.17</v>
      </c>
      <c r="C657" s="50">
        <v>48.26</v>
      </c>
      <c r="D657" s="48" t="s">
        <v>8</v>
      </c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</row>
    <row r="658" spans="1:24" ht="15.75" customHeight="1">
      <c r="A658" s="48">
        <v>67</v>
      </c>
      <c r="B658" s="49">
        <v>5.34</v>
      </c>
      <c r="C658" s="50">
        <v>70.22</v>
      </c>
      <c r="D658" s="48" t="s">
        <v>8</v>
      </c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</row>
    <row r="659" spans="1:24" ht="15.75" customHeight="1">
      <c r="A659" s="48">
        <v>68</v>
      </c>
      <c r="B659" s="49">
        <v>4.37</v>
      </c>
      <c r="C659" s="50">
        <v>23.31</v>
      </c>
      <c r="D659" s="48" t="s">
        <v>9</v>
      </c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</row>
    <row r="660" spans="1:24" ht="15.75" customHeight="1">
      <c r="A660" s="48">
        <v>74</v>
      </c>
      <c r="B660" s="49">
        <v>6.65</v>
      </c>
      <c r="C660" s="50">
        <v>55.63</v>
      </c>
      <c r="D660" s="48" t="s">
        <v>9</v>
      </c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</row>
    <row r="661" spans="1:24" ht="15.75" customHeight="1">
      <c r="A661" s="48" t="s">
        <v>27</v>
      </c>
      <c r="B661" s="49" t="s">
        <v>28</v>
      </c>
      <c r="C661" s="54" t="s">
        <v>29</v>
      </c>
      <c r="D661" s="48" t="s">
        <v>30</v>
      </c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</row>
    <row r="662" spans="1:24" ht="15.75" customHeight="1">
      <c r="C662" s="48"/>
      <c r="D662" s="48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</row>
    <row r="663" spans="1:24" ht="15.75" customHeight="1">
      <c r="C663" s="48"/>
      <c r="D663" s="48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</row>
    <row r="664" spans="1:24" ht="15.75" customHeight="1">
      <c r="A664" s="55"/>
      <c r="B664" s="55"/>
      <c r="C664" s="55"/>
      <c r="D664" s="55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</row>
    <row r="665" spans="1:24" ht="15.75" customHeight="1">
      <c r="A665" s="55"/>
      <c r="B665" s="55"/>
      <c r="C665" s="55"/>
      <c r="D665" s="55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</row>
    <row r="666" spans="1:24" ht="15.75" customHeight="1">
      <c r="A666" s="55"/>
      <c r="B666" s="55"/>
      <c r="C666" s="55"/>
      <c r="D666" s="55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</row>
    <row r="667" spans="1:24" ht="15.75" customHeight="1">
      <c r="A667" s="55"/>
      <c r="B667" s="55"/>
      <c r="C667" s="55"/>
      <c r="D667" s="55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</row>
    <row r="668" spans="1:24" ht="15.75" customHeight="1">
      <c r="A668" s="55"/>
      <c r="B668" s="55"/>
      <c r="C668" s="55"/>
      <c r="D668" s="55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</row>
    <row r="669" spans="1:24" ht="15.75" customHeight="1">
      <c r="A669" s="55"/>
      <c r="B669" s="55"/>
      <c r="C669" s="55"/>
      <c r="D669" s="55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</row>
    <row r="670" spans="1:24" ht="15.75" customHeight="1">
      <c r="A670" s="55"/>
      <c r="B670" s="55"/>
      <c r="C670" s="55"/>
      <c r="D670" s="55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</row>
    <row r="671" spans="1:24" ht="15.75" customHeight="1">
      <c r="A671" s="55"/>
      <c r="B671" s="55"/>
      <c r="C671" s="55"/>
      <c r="D671" s="55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</row>
    <row r="672" spans="1:24" ht="15.75" customHeight="1">
      <c r="A672" s="55"/>
      <c r="B672" s="55"/>
      <c r="C672" s="55"/>
      <c r="D672" s="55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</row>
    <row r="673" spans="1:24" ht="15.75" customHeight="1">
      <c r="A673" s="55"/>
      <c r="B673" s="55"/>
      <c r="C673" s="55"/>
      <c r="D673" s="55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</row>
    <row r="674" spans="1:24" ht="15.75" customHeight="1">
      <c r="A674" s="55"/>
      <c r="B674" s="55"/>
      <c r="C674" s="55"/>
      <c r="D674" s="55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</row>
    <row r="675" spans="1:24" ht="15.75" customHeight="1">
      <c r="A675" s="55"/>
      <c r="B675" s="55"/>
      <c r="C675" s="55"/>
      <c r="D675" s="55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</row>
    <row r="676" spans="1:24" ht="15.75" customHeight="1">
      <c r="A676" s="55"/>
      <c r="B676" s="55"/>
      <c r="C676" s="55"/>
      <c r="D676" s="55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</row>
    <row r="677" spans="1:24" ht="15.75" customHeight="1">
      <c r="A677" s="55"/>
      <c r="B677" s="55"/>
      <c r="C677" s="55"/>
      <c r="D677" s="55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</row>
    <row r="678" spans="1:24" ht="15.75" customHeight="1">
      <c r="A678" s="55"/>
      <c r="B678" s="55"/>
      <c r="C678" s="55"/>
      <c r="D678" s="55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</row>
    <row r="679" spans="1:24" ht="15.75" customHeight="1">
      <c r="A679" s="55"/>
      <c r="B679" s="55"/>
      <c r="C679" s="55"/>
      <c r="D679" s="55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</row>
    <row r="680" spans="1:24" ht="15.75" customHeight="1">
      <c r="A680" s="55"/>
      <c r="B680" s="55"/>
      <c r="C680" s="55"/>
      <c r="D680" s="55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</row>
    <row r="681" spans="1:24" ht="15.75" customHeight="1">
      <c r="A681" s="55"/>
      <c r="B681" s="55"/>
      <c r="C681" s="55"/>
      <c r="D681" s="55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</row>
    <row r="682" spans="1:24" ht="15.75" customHeight="1">
      <c r="A682" s="55"/>
      <c r="B682" s="55"/>
      <c r="C682" s="55"/>
      <c r="D682" s="55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</row>
    <row r="683" spans="1:24" ht="15.75" customHeight="1">
      <c r="A683" s="55"/>
      <c r="B683" s="55"/>
      <c r="C683" s="55"/>
      <c r="D683" s="55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</row>
    <row r="684" spans="1:24" ht="15.75" customHeight="1">
      <c r="A684" s="55"/>
      <c r="B684" s="55"/>
      <c r="C684" s="55"/>
      <c r="D684" s="55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</row>
    <row r="685" spans="1:24" ht="15.75" customHeight="1">
      <c r="A685" s="55"/>
      <c r="B685" s="55"/>
      <c r="C685" s="55"/>
      <c r="D685" s="55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</row>
    <row r="686" spans="1:24" ht="15.75" customHeight="1">
      <c r="A686" s="55"/>
      <c r="B686" s="55"/>
      <c r="C686" s="55"/>
      <c r="D686" s="55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</row>
    <row r="687" spans="1:24" ht="15.75" customHeight="1">
      <c r="A687" s="55"/>
      <c r="B687" s="55"/>
      <c r="C687" s="55"/>
      <c r="D687" s="55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</row>
    <row r="688" spans="1:24" ht="15.75" customHeight="1">
      <c r="A688" s="55"/>
      <c r="B688" s="55"/>
      <c r="C688" s="55"/>
      <c r="D688" s="55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</row>
    <row r="689" spans="1:24" ht="15.75" customHeight="1">
      <c r="A689" s="55"/>
      <c r="B689" s="55"/>
      <c r="C689" s="55"/>
      <c r="D689" s="55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</row>
    <row r="690" spans="1:24" ht="15.75" customHeight="1">
      <c r="A690" s="55"/>
      <c r="B690" s="55"/>
      <c r="C690" s="55"/>
      <c r="D690" s="55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</row>
    <row r="691" spans="1:24" ht="15.75" customHeight="1">
      <c r="A691" s="55"/>
      <c r="B691" s="55"/>
      <c r="C691" s="55"/>
      <c r="D691" s="55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</row>
    <row r="692" spans="1:24" ht="15.75" customHeight="1">
      <c r="A692" s="55"/>
      <c r="B692" s="55"/>
      <c r="C692" s="55"/>
      <c r="D692" s="55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</row>
    <row r="693" spans="1:24" ht="15.75" customHeight="1">
      <c r="A693" s="55"/>
      <c r="B693" s="55"/>
      <c r="C693" s="55"/>
      <c r="D693" s="55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</row>
    <row r="694" spans="1:24" ht="15.75" customHeight="1">
      <c r="A694" s="55"/>
      <c r="B694" s="55"/>
      <c r="C694" s="55"/>
      <c r="D694" s="55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</row>
    <row r="695" spans="1:24" ht="15.75" customHeight="1">
      <c r="A695" s="55"/>
      <c r="B695" s="55"/>
      <c r="C695" s="55"/>
      <c r="D695" s="55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</row>
    <row r="696" spans="1:24" ht="15.75" customHeight="1">
      <c r="A696" s="55"/>
      <c r="B696" s="55"/>
      <c r="C696" s="55"/>
      <c r="D696" s="55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</row>
    <row r="697" spans="1:24" ht="15.75" customHeight="1">
      <c r="A697" s="55"/>
      <c r="B697" s="55"/>
      <c r="C697" s="55"/>
      <c r="D697" s="55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</row>
    <row r="698" spans="1:24" ht="15.75" customHeight="1">
      <c r="A698" s="55"/>
      <c r="B698" s="55"/>
      <c r="C698" s="55"/>
      <c r="D698" s="55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</row>
    <row r="699" spans="1:24" ht="15.75" customHeight="1">
      <c r="A699" s="55"/>
      <c r="B699" s="55"/>
      <c r="C699" s="55"/>
      <c r="D699" s="55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</row>
    <row r="700" spans="1:24" ht="15.75" customHeight="1">
      <c r="A700" s="55"/>
      <c r="B700" s="55"/>
      <c r="C700" s="55"/>
      <c r="D700" s="55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</row>
    <row r="701" spans="1:24" ht="15.75" customHeight="1">
      <c r="A701" s="55"/>
      <c r="B701" s="55"/>
      <c r="C701" s="55"/>
      <c r="D701" s="55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</row>
    <row r="702" spans="1:24" ht="15.75" customHeight="1">
      <c r="A702" s="55"/>
      <c r="B702" s="55"/>
      <c r="C702" s="55"/>
      <c r="D702" s="55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</row>
    <row r="703" spans="1:24" ht="15.75" customHeight="1">
      <c r="A703" s="55"/>
      <c r="B703" s="55"/>
      <c r="C703" s="55"/>
      <c r="D703" s="55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</row>
    <row r="704" spans="1:24" ht="15.75" customHeight="1">
      <c r="A704" s="55"/>
      <c r="B704" s="55"/>
      <c r="C704" s="55"/>
      <c r="D704" s="55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</row>
    <row r="705" spans="1:24" ht="15.75" customHeight="1">
      <c r="A705" s="55"/>
      <c r="B705" s="55"/>
      <c r="C705" s="55"/>
      <c r="D705" s="55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</row>
    <row r="706" spans="1:24" ht="15.75" customHeight="1">
      <c r="A706" s="55"/>
      <c r="B706" s="55"/>
      <c r="C706" s="55"/>
      <c r="D706" s="55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</row>
    <row r="707" spans="1:24" ht="15.75" customHeight="1">
      <c r="A707" s="55"/>
      <c r="B707" s="55"/>
      <c r="C707" s="55"/>
      <c r="D707" s="55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</row>
    <row r="708" spans="1:24" ht="15.75" customHeight="1">
      <c r="A708" s="55"/>
      <c r="B708" s="55"/>
      <c r="C708" s="55"/>
      <c r="D708" s="55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</row>
    <row r="709" spans="1:24" ht="15.75" customHeight="1">
      <c r="A709" s="55"/>
      <c r="B709" s="55"/>
      <c r="C709" s="55"/>
      <c r="D709" s="55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</row>
    <row r="710" spans="1:24" ht="15.75" customHeight="1">
      <c r="A710" s="55"/>
      <c r="B710" s="55"/>
      <c r="C710" s="55"/>
      <c r="D710" s="55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</row>
    <row r="711" spans="1:24" ht="15.75" customHeight="1">
      <c r="A711" s="55"/>
      <c r="B711" s="55"/>
      <c r="C711" s="55"/>
      <c r="D711" s="55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</row>
    <row r="712" spans="1:24" ht="15.75" customHeight="1">
      <c r="A712" s="55"/>
      <c r="B712" s="55"/>
      <c r="C712" s="55"/>
      <c r="D712" s="55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</row>
    <row r="713" spans="1:24" ht="15.75" customHeight="1">
      <c r="A713" s="55"/>
      <c r="B713" s="55"/>
      <c r="C713" s="55"/>
      <c r="D713" s="55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</row>
    <row r="714" spans="1:24" ht="15.75" customHeight="1">
      <c r="A714" s="55"/>
      <c r="B714" s="55"/>
      <c r="C714" s="55"/>
      <c r="D714" s="55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</row>
    <row r="715" spans="1:24" ht="15.75" customHeight="1">
      <c r="A715" s="55"/>
      <c r="B715" s="55"/>
      <c r="C715" s="55"/>
      <c r="D715" s="55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</row>
    <row r="716" spans="1:24" ht="15.75" customHeight="1">
      <c r="A716" s="55"/>
      <c r="B716" s="55"/>
      <c r="C716" s="55"/>
      <c r="D716" s="55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</row>
    <row r="717" spans="1:24" ht="15.75" customHeight="1">
      <c r="A717" s="55"/>
      <c r="B717" s="55"/>
      <c r="C717" s="55"/>
      <c r="D717" s="55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</row>
    <row r="718" spans="1:24" ht="15.75" customHeight="1">
      <c r="A718" s="55"/>
      <c r="B718" s="55"/>
      <c r="C718" s="55"/>
      <c r="D718" s="55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</row>
    <row r="719" spans="1:24" ht="15.75" customHeight="1">
      <c r="A719" s="55"/>
      <c r="B719" s="55"/>
      <c r="C719" s="55"/>
      <c r="D719" s="55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</row>
    <row r="720" spans="1:24" ht="15.75" customHeight="1">
      <c r="A720" s="55"/>
      <c r="B720" s="55"/>
      <c r="C720" s="55"/>
      <c r="D720" s="55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</row>
    <row r="721" spans="1:24" ht="15.75" customHeight="1">
      <c r="A721" s="55"/>
      <c r="B721" s="55"/>
      <c r="C721" s="55"/>
      <c r="D721" s="55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</row>
    <row r="722" spans="1:24" ht="15.75" customHeight="1">
      <c r="A722" s="55"/>
      <c r="B722" s="55"/>
      <c r="C722" s="55"/>
      <c r="D722" s="55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</row>
    <row r="723" spans="1:24" ht="15.75" customHeight="1">
      <c r="A723" s="55"/>
      <c r="B723" s="55"/>
      <c r="C723" s="55"/>
      <c r="D723" s="55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</row>
    <row r="724" spans="1:24" ht="15.75" customHeight="1">
      <c r="A724" s="55"/>
      <c r="B724" s="55"/>
      <c r="C724" s="55"/>
      <c r="D724" s="55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</row>
    <row r="725" spans="1:24" ht="15.75" customHeight="1">
      <c r="A725" s="55"/>
      <c r="B725" s="55"/>
      <c r="C725" s="55"/>
      <c r="D725" s="55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</row>
    <row r="726" spans="1:24" ht="15.75" customHeight="1">
      <c r="A726" s="55"/>
      <c r="B726" s="55"/>
      <c r="C726" s="55"/>
      <c r="D726" s="55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</row>
    <row r="727" spans="1:24" ht="15.75" customHeight="1">
      <c r="A727" s="55"/>
      <c r="B727" s="55"/>
      <c r="C727" s="55"/>
      <c r="D727" s="55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</row>
    <row r="728" spans="1:24" ht="15.75" customHeight="1">
      <c r="A728" s="55"/>
      <c r="B728" s="55"/>
      <c r="C728" s="55"/>
      <c r="D728" s="55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</row>
    <row r="729" spans="1:24" ht="15.75" customHeight="1">
      <c r="A729" s="55"/>
      <c r="B729" s="55"/>
      <c r="C729" s="55"/>
      <c r="D729" s="55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</row>
    <row r="730" spans="1:24" ht="15.75" customHeight="1">
      <c r="A730" s="55"/>
      <c r="B730" s="55"/>
      <c r="C730" s="55"/>
      <c r="D730" s="55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</row>
    <row r="731" spans="1:24" ht="15.75" customHeight="1">
      <c r="A731" s="55"/>
      <c r="B731" s="55"/>
      <c r="C731" s="55"/>
      <c r="D731" s="55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</row>
    <row r="732" spans="1:24" ht="15.75" customHeight="1">
      <c r="A732" s="55"/>
      <c r="B732" s="55"/>
      <c r="C732" s="55"/>
      <c r="D732" s="55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</row>
    <row r="733" spans="1:24" ht="15.75" customHeight="1">
      <c r="A733" s="55"/>
      <c r="B733" s="55"/>
      <c r="C733" s="55"/>
      <c r="D733" s="55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</row>
    <row r="734" spans="1:24" ht="15.75" customHeight="1">
      <c r="A734" s="55"/>
      <c r="B734" s="55"/>
      <c r="C734" s="55"/>
      <c r="D734" s="55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</row>
    <row r="735" spans="1:24" ht="15.75" customHeight="1">
      <c r="A735" s="55"/>
      <c r="B735" s="55"/>
      <c r="C735" s="55"/>
      <c r="D735" s="55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</row>
    <row r="736" spans="1:24" ht="15.75" customHeight="1">
      <c r="A736" s="55"/>
      <c r="B736" s="55"/>
      <c r="C736" s="55"/>
      <c r="D736" s="55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</row>
    <row r="737" spans="1:24" ht="15.75" customHeight="1">
      <c r="A737" s="55"/>
      <c r="B737" s="55"/>
      <c r="C737" s="55"/>
      <c r="D737" s="55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</row>
    <row r="738" spans="1:24" ht="15.75" customHeight="1">
      <c r="A738" s="55"/>
      <c r="B738" s="55"/>
      <c r="C738" s="55"/>
      <c r="D738" s="55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</row>
    <row r="739" spans="1:24" ht="15.75" customHeight="1">
      <c r="A739" s="55"/>
      <c r="B739" s="55"/>
      <c r="C739" s="55"/>
      <c r="D739" s="55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</row>
    <row r="740" spans="1:24" ht="15.75" customHeight="1">
      <c r="A740" s="55"/>
      <c r="B740" s="55"/>
      <c r="C740" s="55"/>
      <c r="D740" s="55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</row>
    <row r="741" spans="1:24" ht="15.75" customHeight="1">
      <c r="A741" s="55"/>
      <c r="B741" s="55"/>
      <c r="C741" s="55"/>
      <c r="D741" s="55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</row>
    <row r="742" spans="1:24" ht="15.75" customHeight="1">
      <c r="A742" s="55"/>
      <c r="B742" s="55"/>
      <c r="C742" s="55"/>
      <c r="D742" s="55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</row>
    <row r="743" spans="1:24" ht="15.75" customHeight="1">
      <c r="A743" s="55"/>
      <c r="B743" s="55"/>
      <c r="C743" s="55"/>
      <c r="D743" s="55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</row>
    <row r="744" spans="1:24" ht="15.75" customHeight="1">
      <c r="A744" s="55"/>
      <c r="B744" s="55"/>
      <c r="C744" s="55"/>
      <c r="D744" s="55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</row>
    <row r="745" spans="1:24" ht="15.75" customHeight="1">
      <c r="A745" s="55"/>
      <c r="B745" s="55"/>
      <c r="C745" s="55"/>
      <c r="D745" s="55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</row>
    <row r="746" spans="1:24" ht="15.75" customHeight="1">
      <c r="A746" s="55"/>
      <c r="B746" s="55"/>
      <c r="C746" s="55"/>
      <c r="D746" s="55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</row>
    <row r="747" spans="1:24" ht="15.75" customHeight="1">
      <c r="A747" s="55"/>
      <c r="B747" s="55"/>
      <c r="C747" s="55"/>
      <c r="D747" s="55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</row>
    <row r="748" spans="1:24" ht="15.75" customHeight="1">
      <c r="A748" s="55"/>
      <c r="B748" s="55"/>
      <c r="C748" s="55"/>
      <c r="D748" s="55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</row>
    <row r="749" spans="1:24" ht="15.75" customHeight="1">
      <c r="A749" s="55"/>
      <c r="B749" s="55"/>
      <c r="C749" s="55"/>
      <c r="D749" s="55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</row>
    <row r="750" spans="1:24" ht="15.75" customHeight="1">
      <c r="A750" s="55"/>
      <c r="B750" s="55"/>
      <c r="C750" s="55"/>
      <c r="D750" s="55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</row>
    <row r="751" spans="1:24" ht="15.75" customHeight="1">
      <c r="A751" s="55"/>
      <c r="B751" s="55"/>
      <c r="C751" s="55"/>
      <c r="D751" s="55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</row>
    <row r="752" spans="1:24" ht="15.75" customHeight="1">
      <c r="A752" s="55"/>
      <c r="B752" s="55"/>
      <c r="C752" s="55"/>
      <c r="D752" s="55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</row>
    <row r="753" spans="1:24" ht="15.75" customHeight="1">
      <c r="A753" s="55"/>
      <c r="B753" s="55"/>
      <c r="C753" s="55"/>
      <c r="D753" s="55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</row>
    <row r="754" spans="1:24" ht="15.75" customHeight="1">
      <c r="A754" s="55"/>
      <c r="B754" s="55"/>
      <c r="C754" s="55"/>
      <c r="D754" s="55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</row>
    <row r="755" spans="1:24" ht="15.75" customHeight="1">
      <c r="A755" s="55"/>
      <c r="B755" s="55"/>
      <c r="C755" s="55"/>
      <c r="D755" s="55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</row>
    <row r="756" spans="1:24" ht="15.75" customHeight="1">
      <c r="A756" s="55"/>
      <c r="B756" s="55"/>
      <c r="C756" s="55"/>
      <c r="D756" s="55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</row>
    <row r="757" spans="1:24" ht="15.75" customHeight="1">
      <c r="A757" s="55"/>
      <c r="B757" s="55"/>
      <c r="C757" s="55"/>
      <c r="D757" s="55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</row>
    <row r="758" spans="1:24" ht="15.75" customHeight="1">
      <c r="A758" s="55"/>
      <c r="B758" s="55"/>
      <c r="C758" s="55"/>
      <c r="D758" s="55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</row>
    <row r="759" spans="1:24" ht="15.75" customHeight="1">
      <c r="A759" s="55"/>
      <c r="B759" s="55"/>
      <c r="C759" s="55"/>
      <c r="D759" s="55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</row>
    <row r="760" spans="1:24" ht="15.75" customHeight="1">
      <c r="A760" s="55"/>
      <c r="B760" s="55"/>
      <c r="C760" s="55"/>
      <c r="D760" s="55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</row>
    <row r="761" spans="1:24" ht="15.75" customHeight="1">
      <c r="A761" s="55"/>
      <c r="B761" s="55"/>
      <c r="C761" s="55"/>
      <c r="D761" s="55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</row>
    <row r="762" spans="1:24" ht="15.75" customHeight="1">
      <c r="A762" s="55"/>
      <c r="B762" s="55"/>
      <c r="C762" s="55"/>
      <c r="D762" s="55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</row>
    <row r="763" spans="1:24" ht="15.75" customHeight="1">
      <c r="A763" s="55"/>
      <c r="B763" s="55"/>
      <c r="C763" s="55"/>
      <c r="D763" s="55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</row>
    <row r="764" spans="1:24" ht="15.75" customHeight="1">
      <c r="A764" s="55"/>
      <c r="B764" s="55"/>
      <c r="C764" s="55"/>
      <c r="D764" s="55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</row>
    <row r="765" spans="1:24" ht="15.75" customHeight="1">
      <c r="A765" s="55"/>
      <c r="B765" s="55"/>
      <c r="C765" s="55"/>
      <c r="D765" s="55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</row>
    <row r="766" spans="1:24" ht="15.75" customHeight="1">
      <c r="A766" s="55"/>
      <c r="B766" s="55"/>
      <c r="C766" s="55"/>
      <c r="D766" s="55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</row>
    <row r="767" spans="1:24" ht="15.75" customHeight="1">
      <c r="A767" s="55"/>
      <c r="B767" s="55"/>
      <c r="C767" s="55"/>
      <c r="D767" s="55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</row>
    <row r="768" spans="1:24" ht="15.75" customHeight="1">
      <c r="A768" s="55"/>
      <c r="B768" s="55"/>
      <c r="C768" s="55"/>
      <c r="D768" s="55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</row>
    <row r="769" spans="1:24" ht="15.75" customHeight="1">
      <c r="A769" s="55"/>
      <c r="B769" s="55"/>
      <c r="C769" s="55"/>
      <c r="D769" s="55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</row>
    <row r="770" spans="1:24" ht="15.75" customHeight="1">
      <c r="A770" s="55"/>
      <c r="B770" s="55"/>
      <c r="C770" s="55"/>
      <c r="D770" s="55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</row>
    <row r="771" spans="1:24" ht="15.75" customHeight="1">
      <c r="A771" s="55"/>
      <c r="B771" s="55"/>
      <c r="C771" s="55"/>
      <c r="D771" s="55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</row>
    <row r="772" spans="1:24" ht="15.75" customHeight="1">
      <c r="A772" s="55"/>
      <c r="B772" s="55"/>
      <c r="C772" s="55"/>
      <c r="D772" s="55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</row>
    <row r="773" spans="1:24" ht="15.75" customHeight="1">
      <c r="A773" s="55"/>
      <c r="B773" s="55"/>
      <c r="C773" s="55"/>
      <c r="D773" s="55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</row>
    <row r="774" spans="1:24" ht="15.75" customHeight="1">
      <c r="A774" s="55"/>
      <c r="B774" s="55"/>
      <c r="C774" s="55"/>
      <c r="D774" s="55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</row>
    <row r="775" spans="1:24" ht="15.75" customHeight="1">
      <c r="A775" s="55"/>
      <c r="B775" s="55"/>
      <c r="C775" s="55"/>
      <c r="D775" s="55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</row>
    <row r="776" spans="1:24" ht="15.75" customHeight="1">
      <c r="A776" s="55"/>
      <c r="B776" s="55"/>
      <c r="C776" s="55"/>
      <c r="D776" s="55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</row>
    <row r="777" spans="1:24" ht="15.75" customHeight="1">
      <c r="A777" s="55"/>
      <c r="B777" s="55"/>
      <c r="C777" s="55"/>
      <c r="D777" s="55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</row>
    <row r="778" spans="1:24" ht="15.75" customHeight="1">
      <c r="A778" s="55"/>
      <c r="B778" s="55"/>
      <c r="C778" s="55"/>
      <c r="D778" s="55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</row>
    <row r="779" spans="1:24" ht="15.75" customHeight="1">
      <c r="A779" s="55"/>
      <c r="B779" s="55"/>
      <c r="C779" s="55"/>
      <c r="D779" s="55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</row>
    <row r="780" spans="1:24" ht="15.75" customHeight="1">
      <c r="A780" s="55"/>
      <c r="B780" s="55"/>
      <c r="C780" s="55"/>
      <c r="D780" s="55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</row>
    <row r="781" spans="1:24" ht="15.75" customHeight="1">
      <c r="A781" s="55"/>
      <c r="B781" s="55"/>
      <c r="C781" s="55"/>
      <c r="D781" s="55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</row>
    <row r="782" spans="1:24" ht="15.75" customHeight="1">
      <c r="A782" s="55"/>
      <c r="B782" s="55"/>
      <c r="C782" s="55"/>
      <c r="D782" s="55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</row>
    <row r="783" spans="1:24" ht="15.75" customHeight="1">
      <c r="A783" s="55"/>
      <c r="B783" s="55"/>
      <c r="C783" s="55"/>
      <c r="D783" s="55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</row>
    <row r="784" spans="1:24" ht="15.75" customHeight="1">
      <c r="A784" s="55"/>
      <c r="B784" s="55"/>
      <c r="C784" s="55"/>
      <c r="D784" s="55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</row>
    <row r="785" spans="1:24" ht="15.75" customHeight="1">
      <c r="A785" s="55"/>
      <c r="B785" s="55"/>
      <c r="C785" s="55"/>
      <c r="D785" s="55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</row>
    <row r="786" spans="1:24" ht="15.75" customHeight="1">
      <c r="A786" s="55"/>
      <c r="B786" s="55"/>
      <c r="C786" s="55"/>
      <c r="D786" s="55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</row>
    <row r="787" spans="1:24" ht="15.75" customHeight="1">
      <c r="A787" s="55"/>
      <c r="B787" s="55"/>
      <c r="C787" s="55"/>
      <c r="D787" s="55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</row>
    <row r="788" spans="1:24" ht="15.75" customHeight="1">
      <c r="A788" s="55"/>
      <c r="B788" s="55"/>
      <c r="C788" s="55"/>
      <c r="D788" s="55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</row>
    <row r="789" spans="1:24" ht="15.75" customHeight="1">
      <c r="A789" s="55"/>
      <c r="B789" s="55"/>
      <c r="C789" s="55"/>
      <c r="D789" s="55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</row>
    <row r="790" spans="1:24" ht="15.75" customHeight="1">
      <c r="A790" s="55"/>
      <c r="B790" s="55"/>
      <c r="C790" s="55"/>
      <c r="D790" s="55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</row>
    <row r="791" spans="1:24" ht="15.75" customHeight="1">
      <c r="A791" s="55"/>
      <c r="B791" s="55"/>
      <c r="C791" s="55"/>
      <c r="D791" s="55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</row>
    <row r="792" spans="1:24" ht="15.75" customHeight="1">
      <c r="A792" s="55"/>
      <c r="B792" s="55"/>
      <c r="C792" s="55"/>
      <c r="D792" s="55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</row>
    <row r="793" spans="1:24" ht="15.75" customHeight="1">
      <c r="A793" s="55"/>
      <c r="B793" s="55"/>
      <c r="C793" s="55"/>
      <c r="D793" s="55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</row>
    <row r="794" spans="1:24" ht="15.75" customHeight="1">
      <c r="A794" s="55"/>
      <c r="B794" s="55"/>
      <c r="C794" s="55"/>
      <c r="D794" s="55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</row>
    <row r="795" spans="1:24" ht="15.75" customHeight="1">
      <c r="A795" s="55"/>
      <c r="B795" s="55"/>
      <c r="C795" s="55"/>
      <c r="D795" s="55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</row>
    <row r="796" spans="1:24" ht="15.75" customHeight="1">
      <c r="A796" s="55"/>
      <c r="B796" s="55"/>
      <c r="C796" s="55"/>
      <c r="D796" s="55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</row>
    <row r="797" spans="1:24" ht="15.75" customHeight="1">
      <c r="A797" s="55"/>
      <c r="B797" s="55"/>
      <c r="C797" s="55"/>
      <c r="D797" s="55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</row>
    <row r="798" spans="1:24" ht="15.75" customHeight="1">
      <c r="A798" s="55"/>
      <c r="B798" s="55"/>
      <c r="C798" s="55"/>
      <c r="D798" s="55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</row>
    <row r="799" spans="1:24" ht="15.75" customHeight="1">
      <c r="A799" s="55"/>
      <c r="B799" s="55"/>
      <c r="C799" s="55"/>
      <c r="D799" s="55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</row>
    <row r="800" spans="1:24" ht="15.75" customHeight="1">
      <c r="A800" s="55"/>
      <c r="B800" s="55"/>
      <c r="C800" s="55"/>
      <c r="D800" s="55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</row>
    <row r="801" spans="1:24" ht="15.75" customHeight="1">
      <c r="A801" s="55"/>
      <c r="B801" s="55"/>
      <c r="C801" s="55"/>
      <c r="D801" s="55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</row>
    <row r="802" spans="1:24" ht="15.75" customHeight="1">
      <c r="A802" s="55"/>
      <c r="B802" s="55"/>
      <c r="C802" s="55"/>
      <c r="D802" s="55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</row>
    <row r="803" spans="1:24" ht="15.75" customHeight="1">
      <c r="A803" s="55"/>
      <c r="B803" s="55"/>
      <c r="C803" s="55"/>
      <c r="D803" s="55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</row>
    <row r="804" spans="1:24" ht="15.75" customHeight="1">
      <c r="A804" s="55"/>
      <c r="B804" s="55"/>
      <c r="C804" s="55"/>
      <c r="D804" s="55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</row>
    <row r="805" spans="1:24" ht="15.75" customHeight="1">
      <c r="A805" s="55"/>
      <c r="B805" s="55"/>
      <c r="C805" s="55"/>
      <c r="D805" s="55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</row>
    <row r="806" spans="1:24" ht="15.75" customHeight="1">
      <c r="A806" s="55"/>
      <c r="B806" s="55"/>
      <c r="C806" s="55"/>
      <c r="D806" s="55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</row>
    <row r="807" spans="1:24" ht="15.75" customHeight="1">
      <c r="A807" s="55"/>
      <c r="B807" s="55"/>
      <c r="C807" s="55"/>
      <c r="D807" s="55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</row>
    <row r="808" spans="1:24" ht="15.75" customHeight="1">
      <c r="A808" s="55"/>
      <c r="B808" s="55"/>
      <c r="C808" s="55"/>
      <c r="D808" s="55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</row>
    <row r="809" spans="1:24" ht="15.75" customHeight="1">
      <c r="A809" s="55"/>
      <c r="B809" s="55"/>
      <c r="C809" s="55"/>
      <c r="D809" s="55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</row>
    <row r="810" spans="1:24" ht="15.75" customHeight="1">
      <c r="A810" s="55"/>
      <c r="B810" s="55"/>
      <c r="C810" s="55"/>
      <c r="D810" s="55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</row>
    <row r="811" spans="1:24" ht="15.75" customHeight="1">
      <c r="A811" s="55"/>
      <c r="B811" s="55"/>
      <c r="C811" s="55"/>
      <c r="D811" s="55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</row>
    <row r="812" spans="1:24" ht="15.75" customHeight="1">
      <c r="A812" s="55"/>
      <c r="B812" s="55"/>
      <c r="C812" s="55"/>
      <c r="D812" s="55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</row>
    <row r="813" spans="1:24" ht="15.75" customHeight="1">
      <c r="A813" s="55"/>
      <c r="B813" s="55"/>
      <c r="C813" s="55"/>
      <c r="D813" s="55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</row>
    <row r="814" spans="1:24" ht="15.75" customHeight="1">
      <c r="A814" s="55"/>
      <c r="B814" s="55"/>
      <c r="C814" s="55"/>
      <c r="D814" s="55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</row>
    <row r="815" spans="1:24" ht="15.75" customHeight="1">
      <c r="A815" s="55"/>
      <c r="B815" s="55"/>
      <c r="C815" s="55"/>
      <c r="D815" s="55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</row>
    <row r="816" spans="1:24" ht="15.75" customHeight="1">
      <c r="A816" s="55"/>
      <c r="B816" s="55"/>
      <c r="C816" s="55"/>
      <c r="D816" s="55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</row>
    <row r="817" spans="1:24" ht="15.75" customHeight="1">
      <c r="A817" s="55"/>
      <c r="B817" s="55"/>
      <c r="C817" s="55"/>
      <c r="D817" s="55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</row>
    <row r="818" spans="1:24" ht="15.75" customHeight="1">
      <c r="A818" s="55"/>
      <c r="B818" s="55"/>
      <c r="C818" s="55"/>
      <c r="D818" s="55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</row>
    <row r="819" spans="1:24" ht="15.75" customHeight="1">
      <c r="A819" s="55"/>
      <c r="B819" s="55"/>
      <c r="C819" s="55"/>
      <c r="D819" s="55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</row>
    <row r="820" spans="1:24" ht="15.75" customHeight="1">
      <c r="A820" s="55"/>
      <c r="B820" s="55"/>
      <c r="C820" s="55"/>
      <c r="D820" s="55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</row>
    <row r="821" spans="1:24" ht="15.75" customHeight="1">
      <c r="A821" s="55"/>
      <c r="B821" s="55"/>
      <c r="C821" s="55"/>
      <c r="D821" s="55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</row>
    <row r="822" spans="1:24" ht="15.75" customHeight="1">
      <c r="A822" s="55"/>
      <c r="B822" s="55"/>
      <c r="C822" s="55"/>
      <c r="D822" s="55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</row>
    <row r="823" spans="1:24" ht="15.75" customHeight="1">
      <c r="A823" s="55"/>
      <c r="B823" s="55"/>
      <c r="C823" s="55"/>
      <c r="D823" s="55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</row>
    <row r="824" spans="1:24" ht="15.75" customHeight="1">
      <c r="A824" s="55"/>
      <c r="B824" s="55"/>
      <c r="C824" s="55"/>
      <c r="D824" s="55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</row>
    <row r="825" spans="1:24" ht="15.75" customHeight="1">
      <c r="A825" s="55"/>
      <c r="B825" s="55"/>
      <c r="C825" s="55"/>
      <c r="D825" s="55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</row>
    <row r="826" spans="1:24" ht="15.75" customHeight="1">
      <c r="A826" s="55"/>
      <c r="B826" s="55"/>
      <c r="C826" s="55"/>
      <c r="D826" s="55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</row>
    <row r="827" spans="1:24" ht="15.75" customHeight="1">
      <c r="A827" s="55"/>
      <c r="B827" s="55"/>
      <c r="C827" s="55"/>
      <c r="D827" s="55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</row>
    <row r="828" spans="1:24" ht="15.75" customHeight="1">
      <c r="A828" s="55"/>
      <c r="B828" s="55"/>
      <c r="C828" s="55"/>
      <c r="D828" s="55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</row>
    <row r="829" spans="1:24" ht="15.75" customHeight="1">
      <c r="A829" s="55"/>
      <c r="B829" s="55"/>
      <c r="C829" s="55"/>
      <c r="D829" s="55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</row>
    <row r="830" spans="1:24" ht="15.75" customHeight="1">
      <c r="A830" s="55"/>
      <c r="B830" s="55"/>
      <c r="C830" s="55"/>
      <c r="D830" s="55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</row>
    <row r="831" spans="1:24" ht="15.75" customHeight="1">
      <c r="A831" s="55"/>
      <c r="B831" s="55"/>
      <c r="C831" s="55"/>
      <c r="D831" s="55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</row>
    <row r="832" spans="1:24" ht="15.75" customHeight="1">
      <c r="A832" s="55"/>
      <c r="B832" s="55"/>
      <c r="C832" s="55"/>
      <c r="D832" s="55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</row>
    <row r="833" spans="1:24" ht="15.75" customHeight="1">
      <c r="A833" s="55"/>
      <c r="B833" s="55"/>
      <c r="C833" s="55"/>
      <c r="D833" s="55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</row>
    <row r="834" spans="1:24" ht="15.75" customHeight="1">
      <c r="A834" s="55"/>
      <c r="B834" s="55"/>
      <c r="C834" s="55"/>
      <c r="D834" s="55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</row>
    <row r="835" spans="1:24" ht="15.75" customHeight="1">
      <c r="A835" s="55"/>
      <c r="B835" s="55"/>
      <c r="C835" s="55"/>
      <c r="D835" s="55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</row>
    <row r="836" spans="1:24" ht="15.75" customHeight="1">
      <c r="A836" s="55"/>
      <c r="B836" s="55"/>
      <c r="C836" s="55"/>
      <c r="D836" s="55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</row>
    <row r="837" spans="1:24" ht="15.75" customHeight="1">
      <c r="A837" s="55"/>
      <c r="B837" s="55"/>
      <c r="C837" s="55"/>
      <c r="D837" s="55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</row>
    <row r="838" spans="1:24" ht="15.75" customHeight="1">
      <c r="A838" s="55"/>
      <c r="B838" s="55"/>
      <c r="C838" s="55"/>
      <c r="D838" s="55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</row>
    <row r="839" spans="1:24" ht="15.75" customHeight="1">
      <c r="A839" s="55"/>
      <c r="B839" s="55"/>
      <c r="C839" s="55"/>
      <c r="D839" s="55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</row>
    <row r="840" spans="1:24" ht="15.75" customHeight="1">
      <c r="A840" s="55"/>
      <c r="B840" s="55"/>
      <c r="C840" s="55"/>
      <c r="D840" s="55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</row>
    <row r="841" spans="1:24" ht="15.75" customHeight="1">
      <c r="A841" s="55"/>
      <c r="B841" s="55"/>
      <c r="C841" s="55"/>
      <c r="D841" s="55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</row>
    <row r="842" spans="1:24" ht="15.75" customHeight="1">
      <c r="A842" s="55"/>
      <c r="B842" s="55"/>
      <c r="C842" s="55"/>
      <c r="D842" s="55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</row>
    <row r="843" spans="1:24" ht="15.75" customHeight="1">
      <c r="A843" s="56"/>
      <c r="B843" s="56"/>
      <c r="C843" s="56"/>
      <c r="D843" s="56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</row>
    <row r="844" spans="1:24" ht="15.75" customHeight="1">
      <c r="A844" s="56"/>
      <c r="B844" s="56"/>
      <c r="C844" s="56"/>
      <c r="D844" s="56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</row>
    <row r="845" spans="1:24" ht="15.75" customHeight="1">
      <c r="A845" s="56"/>
      <c r="B845" s="56"/>
      <c r="C845" s="56"/>
      <c r="D845" s="56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</row>
    <row r="846" spans="1:24" ht="15.75" customHeight="1">
      <c r="A846" s="56"/>
      <c r="B846" s="56"/>
      <c r="C846" s="56"/>
      <c r="D846" s="56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</row>
    <row r="847" spans="1:24" ht="15.75" customHeight="1">
      <c r="A847" s="56"/>
      <c r="B847" s="56"/>
      <c r="C847" s="56"/>
      <c r="D847" s="56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</row>
    <row r="848" spans="1:24" ht="15.75" customHeight="1">
      <c r="A848" s="56"/>
      <c r="B848" s="56"/>
      <c r="C848" s="56"/>
      <c r="D848" s="56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</row>
    <row r="849" spans="1:24" ht="15.75" customHeight="1">
      <c r="A849" s="56"/>
      <c r="B849" s="56"/>
      <c r="C849" s="56"/>
      <c r="D849" s="56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</row>
    <row r="850" spans="1:24" ht="15.75" customHeight="1">
      <c r="A850" s="56"/>
      <c r="B850" s="56"/>
      <c r="C850" s="56"/>
      <c r="D850" s="56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</row>
    <row r="851" spans="1:24" ht="15.75" customHeight="1">
      <c r="A851" s="56"/>
      <c r="B851" s="56"/>
      <c r="C851" s="56"/>
      <c r="D851" s="56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</row>
    <row r="852" spans="1:24" ht="15.75" customHeight="1">
      <c r="A852" s="56"/>
      <c r="B852" s="56"/>
      <c r="C852" s="56"/>
      <c r="D852" s="56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</row>
    <row r="853" spans="1:24" ht="15.75" customHeight="1">
      <c r="A853" s="56"/>
      <c r="B853" s="56"/>
      <c r="C853" s="56"/>
      <c r="D853" s="56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</row>
    <row r="854" spans="1:24" ht="15.75" customHeight="1">
      <c r="A854" s="56"/>
      <c r="B854" s="56"/>
      <c r="C854" s="56"/>
      <c r="D854" s="56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</row>
    <row r="855" spans="1:24" ht="15.75" customHeight="1">
      <c r="A855" s="56"/>
      <c r="B855" s="56"/>
      <c r="C855" s="56"/>
      <c r="D855" s="56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</row>
    <row r="856" spans="1:24" ht="15.75" customHeight="1">
      <c r="A856" s="56"/>
      <c r="B856" s="56"/>
      <c r="C856" s="56"/>
      <c r="D856" s="56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</row>
    <row r="857" spans="1:24" ht="15.75" customHeight="1">
      <c r="A857" s="56"/>
      <c r="B857" s="56"/>
      <c r="C857" s="56"/>
      <c r="D857" s="56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</row>
    <row r="858" spans="1:24" ht="15.75" customHeight="1">
      <c r="A858" s="56"/>
      <c r="B858" s="56"/>
      <c r="C858" s="56"/>
      <c r="D858" s="56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</row>
    <row r="859" spans="1:24" ht="15.75" customHeight="1">
      <c r="A859" s="56"/>
      <c r="B859" s="56"/>
      <c r="C859" s="56"/>
      <c r="D859" s="56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</row>
    <row r="860" spans="1:24" ht="15.75" customHeight="1">
      <c r="A860" s="56"/>
      <c r="B860" s="56"/>
      <c r="C860" s="56"/>
      <c r="D860" s="56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</row>
    <row r="861" spans="1:24" ht="15.75" customHeight="1">
      <c r="A861" s="56"/>
      <c r="B861" s="56"/>
      <c r="C861" s="56"/>
      <c r="D861" s="56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</row>
    <row r="862" spans="1:24" ht="15.75" customHeight="1">
      <c r="A862" s="56"/>
      <c r="B862" s="56"/>
      <c r="C862" s="56"/>
      <c r="D862" s="56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</row>
    <row r="863" spans="1:24" ht="15.75" customHeight="1">
      <c r="A863" s="56"/>
      <c r="B863" s="56"/>
      <c r="C863" s="56"/>
      <c r="D863" s="56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</row>
    <row r="864" spans="1:24" ht="15.75" customHeight="1">
      <c r="A864" s="56"/>
      <c r="B864" s="56"/>
      <c r="C864" s="56"/>
      <c r="D864" s="56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</row>
    <row r="865" spans="1:24" ht="15.75" customHeight="1">
      <c r="A865" s="56"/>
      <c r="B865" s="56"/>
      <c r="C865" s="56"/>
      <c r="D865" s="56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</row>
    <row r="866" spans="1:24" ht="15.75" customHeight="1">
      <c r="A866" s="56"/>
      <c r="B866" s="56"/>
      <c r="C866" s="56"/>
      <c r="D866" s="56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</row>
    <row r="867" spans="1:24" ht="15.75" customHeight="1">
      <c r="A867" s="56"/>
      <c r="B867" s="56"/>
      <c r="C867" s="56"/>
      <c r="D867" s="56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</row>
    <row r="868" spans="1:24" ht="15.75" customHeight="1">
      <c r="A868" s="56"/>
      <c r="B868" s="56"/>
      <c r="C868" s="56"/>
      <c r="D868" s="56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</row>
    <row r="869" spans="1:24" ht="15.75" customHeight="1">
      <c r="A869" s="56"/>
      <c r="B869" s="56"/>
      <c r="C869" s="56"/>
      <c r="D869" s="56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</row>
    <row r="870" spans="1:24" ht="15.75" customHeight="1">
      <c r="A870" s="56"/>
      <c r="B870" s="56"/>
      <c r="C870" s="56"/>
      <c r="D870" s="56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</row>
    <row r="871" spans="1:24" ht="15.75" customHeight="1">
      <c r="A871" s="56"/>
      <c r="B871" s="56"/>
      <c r="C871" s="56"/>
      <c r="D871" s="56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</row>
    <row r="872" spans="1:24" ht="15.75" customHeight="1">
      <c r="A872" s="56"/>
      <c r="B872" s="56"/>
      <c r="C872" s="56"/>
      <c r="D872" s="56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</row>
    <row r="873" spans="1:24" ht="15.75" customHeight="1">
      <c r="A873" s="56"/>
      <c r="B873" s="56"/>
      <c r="C873" s="56"/>
      <c r="D873" s="56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</row>
    <row r="874" spans="1:24" ht="15.75" customHeight="1">
      <c r="A874" s="56"/>
      <c r="B874" s="56"/>
      <c r="C874" s="56"/>
      <c r="D874" s="56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</row>
    <row r="875" spans="1:24" ht="15.75" customHeight="1">
      <c r="A875" s="56"/>
      <c r="B875" s="56"/>
      <c r="C875" s="56"/>
      <c r="D875" s="56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</row>
    <row r="876" spans="1:24" ht="15.75" customHeight="1">
      <c r="A876" s="56"/>
      <c r="B876" s="56"/>
      <c r="C876" s="56"/>
      <c r="D876" s="56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</row>
    <row r="877" spans="1:24" ht="15.75" customHeight="1">
      <c r="A877" s="56"/>
      <c r="B877" s="56"/>
      <c r="C877" s="56"/>
      <c r="D877" s="56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</row>
    <row r="878" spans="1:24" ht="15.75" customHeight="1">
      <c r="A878" s="56"/>
      <c r="B878" s="56"/>
      <c r="C878" s="56"/>
      <c r="D878" s="56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</row>
    <row r="879" spans="1:24" ht="15.75" customHeight="1">
      <c r="A879" s="56"/>
      <c r="B879" s="56"/>
      <c r="C879" s="56"/>
      <c r="D879" s="56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</row>
    <row r="880" spans="1:24" ht="15.75" customHeight="1">
      <c r="A880" s="56"/>
      <c r="B880" s="56"/>
      <c r="C880" s="56"/>
      <c r="D880" s="56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</row>
    <row r="881" spans="1:24" ht="15.75" customHeight="1">
      <c r="A881" s="56"/>
      <c r="B881" s="56"/>
      <c r="C881" s="56"/>
      <c r="D881" s="56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</row>
    <row r="882" spans="1:24" ht="15.75" customHeight="1">
      <c r="A882" s="56"/>
      <c r="B882" s="56"/>
      <c r="C882" s="56"/>
      <c r="D882" s="56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</row>
    <row r="883" spans="1:24" ht="15.75" customHeight="1">
      <c r="A883" s="56"/>
      <c r="B883" s="56"/>
      <c r="C883" s="56"/>
      <c r="D883" s="56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</row>
    <row r="884" spans="1:24" ht="15.75" customHeight="1">
      <c r="A884" s="56"/>
      <c r="B884" s="56"/>
      <c r="C884" s="56"/>
      <c r="D884" s="56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</row>
    <row r="885" spans="1:24" ht="15.75" customHeight="1">
      <c r="A885" s="56"/>
      <c r="B885" s="56"/>
      <c r="C885" s="56"/>
      <c r="D885" s="56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</row>
    <row r="886" spans="1:24" ht="15.75" customHeight="1">
      <c r="A886" s="56"/>
      <c r="B886" s="56"/>
      <c r="C886" s="56"/>
      <c r="D886" s="56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</row>
    <row r="887" spans="1:24" ht="15.75" customHeight="1">
      <c r="A887" s="56"/>
      <c r="B887" s="56"/>
      <c r="C887" s="56"/>
      <c r="D887" s="56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</row>
    <row r="888" spans="1:24" ht="15.75" customHeight="1">
      <c r="A888" s="56"/>
      <c r="B888" s="56"/>
      <c r="C888" s="56"/>
      <c r="D888" s="56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</row>
    <row r="889" spans="1:24" ht="15.75" customHeight="1">
      <c r="A889" s="56"/>
      <c r="B889" s="56"/>
      <c r="C889" s="56"/>
      <c r="D889" s="56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</row>
    <row r="890" spans="1:24" ht="15.75" customHeight="1">
      <c r="A890" s="56"/>
      <c r="B890" s="56"/>
      <c r="C890" s="56"/>
      <c r="D890" s="56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</row>
    <row r="891" spans="1:24" ht="15.75" customHeight="1">
      <c r="A891" s="56"/>
      <c r="B891" s="56"/>
      <c r="C891" s="56"/>
      <c r="D891" s="56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</row>
    <row r="892" spans="1:24" ht="15.75" customHeight="1">
      <c r="A892" s="56"/>
      <c r="B892" s="56"/>
      <c r="C892" s="56"/>
      <c r="D892" s="56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</row>
    <row r="893" spans="1:24" ht="15.75" customHeight="1">
      <c r="A893" s="56"/>
      <c r="B893" s="56"/>
      <c r="C893" s="56"/>
      <c r="D893" s="56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</row>
    <row r="894" spans="1:24" ht="15.75" customHeight="1">
      <c r="A894" s="56"/>
      <c r="B894" s="56"/>
      <c r="C894" s="56"/>
      <c r="D894" s="56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</row>
    <row r="895" spans="1:24" ht="15.75" customHeight="1">
      <c r="A895" s="56"/>
      <c r="B895" s="56"/>
      <c r="C895" s="56"/>
      <c r="D895" s="56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</row>
    <row r="896" spans="1:24" ht="15.75" customHeight="1">
      <c r="A896" s="56"/>
      <c r="B896" s="56"/>
      <c r="C896" s="56"/>
      <c r="D896" s="56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</row>
    <row r="897" spans="1:24" ht="15.75" customHeight="1">
      <c r="A897" s="56"/>
      <c r="B897" s="56"/>
      <c r="C897" s="56"/>
      <c r="D897" s="56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</row>
    <row r="898" spans="1:24" ht="15.75" customHeight="1">
      <c r="A898" s="56"/>
      <c r="B898" s="56"/>
      <c r="C898" s="56"/>
      <c r="D898" s="56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</row>
    <row r="899" spans="1:24" ht="15.75" customHeight="1">
      <c r="A899" s="56"/>
      <c r="B899" s="56"/>
      <c r="C899" s="56"/>
      <c r="D899" s="56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</row>
    <row r="900" spans="1:24" ht="15.75" customHeight="1">
      <c r="A900" s="56"/>
      <c r="B900" s="56"/>
      <c r="C900" s="56"/>
      <c r="D900" s="56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</row>
    <row r="901" spans="1:24" ht="15.75" customHeight="1">
      <c r="A901" s="56"/>
      <c r="B901" s="56"/>
      <c r="C901" s="56"/>
      <c r="D901" s="56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</row>
    <row r="902" spans="1:24" ht="15.75" customHeight="1">
      <c r="A902" s="56"/>
      <c r="B902" s="56"/>
      <c r="C902" s="56"/>
      <c r="D902" s="56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</row>
    <row r="903" spans="1:24" ht="15.75" customHeight="1">
      <c r="A903" s="56"/>
      <c r="B903" s="56"/>
      <c r="C903" s="56"/>
      <c r="D903" s="56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</row>
    <row r="904" spans="1:24" ht="15.75" customHeight="1">
      <c r="A904" s="56"/>
      <c r="B904" s="56"/>
      <c r="C904" s="56"/>
      <c r="D904" s="56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</row>
    <row r="905" spans="1:24" ht="15.75" customHeight="1">
      <c r="A905" s="56"/>
      <c r="B905" s="56"/>
      <c r="C905" s="56"/>
      <c r="D905" s="56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</row>
    <row r="906" spans="1:24" ht="15.75" customHeight="1">
      <c r="A906" s="56"/>
      <c r="B906" s="56"/>
      <c r="C906" s="56"/>
      <c r="D906" s="56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</row>
    <row r="907" spans="1:24" ht="15.75" customHeight="1">
      <c r="A907" s="56"/>
      <c r="B907" s="56"/>
      <c r="C907" s="56"/>
      <c r="D907" s="56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</row>
    <row r="908" spans="1:24" ht="15.75" customHeight="1">
      <c r="A908" s="56"/>
      <c r="B908" s="56"/>
      <c r="C908" s="56"/>
      <c r="D908" s="56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</row>
    <row r="909" spans="1:24" ht="15.75" customHeight="1">
      <c r="A909" s="56"/>
      <c r="B909" s="56"/>
      <c r="C909" s="56"/>
      <c r="D909" s="56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</row>
    <row r="910" spans="1:24" ht="15.75" customHeight="1">
      <c r="A910" s="56"/>
      <c r="B910" s="56"/>
      <c r="C910" s="56"/>
      <c r="D910" s="56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</row>
    <row r="911" spans="1:24" ht="15.75" customHeight="1">
      <c r="A911" s="56"/>
      <c r="B911" s="56"/>
      <c r="C911" s="56"/>
      <c r="D911" s="56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</row>
    <row r="912" spans="1:24" ht="15.75" customHeight="1">
      <c r="A912" s="56"/>
      <c r="B912" s="56"/>
      <c r="C912" s="56"/>
      <c r="D912" s="56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</row>
    <row r="913" spans="1:24" ht="15.75" customHeight="1">
      <c r="A913" s="56"/>
      <c r="B913" s="56"/>
      <c r="C913" s="56"/>
      <c r="D913" s="56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</row>
    <row r="914" spans="1:24" ht="15.75" customHeight="1">
      <c r="A914" s="56"/>
      <c r="B914" s="56"/>
      <c r="C914" s="56"/>
      <c r="D914" s="56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</row>
    <row r="915" spans="1:24" ht="15.75" customHeight="1">
      <c r="A915" s="56"/>
      <c r="B915" s="56"/>
      <c r="C915" s="56"/>
      <c r="D915" s="56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</row>
    <row r="916" spans="1:24" ht="15.75" customHeight="1">
      <c r="A916" s="56"/>
      <c r="B916" s="56"/>
      <c r="C916" s="56"/>
      <c r="D916" s="56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</row>
    <row r="917" spans="1:24" ht="15.75" customHeight="1">
      <c r="A917" s="56"/>
      <c r="B917" s="56"/>
      <c r="C917" s="56"/>
      <c r="D917" s="56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</row>
    <row r="918" spans="1:24" ht="15.75" customHeight="1">
      <c r="A918" s="56"/>
      <c r="B918" s="56"/>
      <c r="C918" s="56"/>
      <c r="D918" s="56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</row>
    <row r="919" spans="1:24" ht="15.75" customHeight="1">
      <c r="A919" s="56"/>
      <c r="B919" s="56"/>
      <c r="C919" s="56"/>
      <c r="D919" s="56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</row>
    <row r="920" spans="1:24" ht="15.75" customHeight="1">
      <c r="A920" s="56"/>
      <c r="B920" s="56"/>
      <c r="C920" s="56"/>
      <c r="D920" s="56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</row>
    <row r="921" spans="1:24" ht="15.75" customHeight="1">
      <c r="A921" s="56"/>
      <c r="B921" s="56"/>
      <c r="C921" s="56"/>
      <c r="D921" s="56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</row>
    <row r="922" spans="1:24" ht="15.75" customHeight="1">
      <c r="A922" s="56"/>
      <c r="B922" s="56"/>
      <c r="C922" s="56"/>
      <c r="D922" s="56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</row>
    <row r="923" spans="1:24" ht="15.75" customHeight="1">
      <c r="A923" s="56"/>
      <c r="B923" s="56"/>
      <c r="C923" s="56"/>
      <c r="D923" s="56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</row>
    <row r="924" spans="1:24" ht="15.75" customHeight="1">
      <c r="A924" s="56"/>
      <c r="B924" s="56"/>
      <c r="C924" s="56"/>
      <c r="D924" s="56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</row>
    <row r="925" spans="1:24" ht="15.75" customHeight="1">
      <c r="A925" s="56"/>
      <c r="B925" s="56"/>
      <c r="C925" s="56"/>
      <c r="D925" s="56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</row>
    <row r="926" spans="1:24" ht="15.75" customHeight="1">
      <c r="A926" s="56"/>
      <c r="B926" s="56"/>
      <c r="C926" s="56"/>
      <c r="D926" s="56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</row>
    <row r="927" spans="1:24" ht="15.75" customHeight="1">
      <c r="A927" s="56"/>
      <c r="B927" s="56"/>
      <c r="C927" s="56"/>
      <c r="D927" s="56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</row>
    <row r="928" spans="1:24" ht="15.75" customHeight="1">
      <c r="A928" s="56"/>
      <c r="B928" s="56"/>
      <c r="C928" s="56"/>
      <c r="D928" s="56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</row>
    <row r="929" spans="1:24" ht="15.75" customHeight="1">
      <c r="A929" s="56"/>
      <c r="B929" s="56"/>
      <c r="C929" s="56"/>
      <c r="D929" s="56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</row>
    <row r="930" spans="1:24" ht="15.75" customHeight="1">
      <c r="A930" s="56"/>
      <c r="B930" s="56"/>
      <c r="C930" s="56"/>
      <c r="D930" s="56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</row>
    <row r="931" spans="1:24" ht="15.75" customHeight="1">
      <c r="A931" s="56"/>
      <c r="B931" s="56"/>
      <c r="C931" s="56"/>
      <c r="D931" s="56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</row>
    <row r="932" spans="1:24" ht="15.75" customHeight="1">
      <c r="A932" s="56"/>
      <c r="B932" s="56"/>
      <c r="C932" s="56"/>
      <c r="D932" s="56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</row>
    <row r="933" spans="1:24" ht="15.75" customHeight="1">
      <c r="A933" s="56"/>
      <c r="B933" s="56"/>
      <c r="C933" s="56"/>
      <c r="D933" s="56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</row>
    <row r="934" spans="1:24" ht="15.75" customHeight="1">
      <c r="A934" s="56"/>
      <c r="B934" s="56"/>
      <c r="C934" s="56"/>
      <c r="D934" s="56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</row>
    <row r="935" spans="1:24" ht="15.75" customHeight="1">
      <c r="A935" s="56"/>
      <c r="B935" s="56"/>
      <c r="C935" s="56"/>
      <c r="D935" s="56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</row>
    <row r="936" spans="1:24" ht="15.75" customHeight="1">
      <c r="A936" s="56"/>
      <c r="B936" s="56"/>
      <c r="C936" s="56"/>
      <c r="D936" s="56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</row>
    <row r="937" spans="1:24" ht="15.75" customHeight="1">
      <c r="A937" s="56"/>
      <c r="B937" s="56"/>
      <c r="C937" s="56"/>
      <c r="D937" s="56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</row>
    <row r="938" spans="1:24" ht="15.75" customHeight="1">
      <c r="A938" s="56"/>
      <c r="B938" s="56"/>
      <c r="C938" s="56"/>
      <c r="D938" s="56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</row>
    <row r="939" spans="1:24" ht="15.75" customHeight="1">
      <c r="A939" s="56"/>
      <c r="B939" s="56"/>
      <c r="C939" s="56"/>
      <c r="D939" s="56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</row>
    <row r="940" spans="1:24" ht="15.75" customHeight="1">
      <c r="A940" s="56"/>
      <c r="B940" s="56"/>
      <c r="C940" s="56"/>
      <c r="D940" s="56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</row>
    <row r="941" spans="1:24" ht="15.75" customHeight="1">
      <c r="A941" s="56"/>
      <c r="B941" s="56"/>
      <c r="C941" s="56"/>
      <c r="D941" s="56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</row>
    <row r="942" spans="1:24" ht="15.75" customHeight="1">
      <c r="A942" s="56"/>
      <c r="B942" s="56"/>
      <c r="C942" s="56"/>
      <c r="D942" s="56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</row>
    <row r="943" spans="1:24" ht="15.75" customHeight="1">
      <c r="A943" s="56"/>
      <c r="B943" s="56"/>
      <c r="C943" s="56"/>
      <c r="D943" s="56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</row>
    <row r="944" spans="1:24" ht="15.75" customHeight="1">
      <c r="A944" s="56"/>
      <c r="B944" s="56"/>
      <c r="C944" s="56"/>
      <c r="D944" s="56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</row>
    <row r="945" spans="1:24" ht="15.75" customHeight="1">
      <c r="A945" s="56"/>
      <c r="B945" s="56"/>
      <c r="C945" s="56"/>
      <c r="D945" s="56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</row>
    <row r="946" spans="1:24" ht="15.75" customHeight="1">
      <c r="A946" s="56"/>
      <c r="B946" s="56"/>
      <c r="C946" s="56"/>
      <c r="D946" s="56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</row>
    <row r="947" spans="1:24" ht="15.75" customHeight="1">
      <c r="A947" s="56"/>
      <c r="B947" s="56"/>
      <c r="C947" s="56"/>
      <c r="D947" s="56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</row>
    <row r="948" spans="1:24" ht="15.75" customHeight="1">
      <c r="A948" s="56"/>
      <c r="B948" s="56"/>
      <c r="C948" s="56"/>
      <c r="D948" s="56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</row>
    <row r="949" spans="1:24" ht="15.75" customHeight="1">
      <c r="A949" s="56"/>
      <c r="B949" s="56"/>
      <c r="C949" s="56"/>
      <c r="D949" s="56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</row>
    <row r="950" spans="1:24" ht="15.75" customHeight="1">
      <c r="A950" s="56"/>
      <c r="B950" s="56"/>
      <c r="C950" s="56"/>
      <c r="D950" s="56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</row>
    <row r="951" spans="1:24" ht="15.75" customHeight="1">
      <c r="A951" s="56"/>
      <c r="B951" s="56"/>
      <c r="C951" s="56"/>
      <c r="D951" s="56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</row>
    <row r="952" spans="1:24" ht="15.75" customHeight="1">
      <c r="A952" s="56"/>
      <c r="B952" s="56"/>
      <c r="C952" s="56"/>
      <c r="D952" s="56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</row>
    <row r="953" spans="1:24" ht="15.75" customHeight="1">
      <c r="A953" s="56"/>
      <c r="B953" s="56"/>
      <c r="C953" s="56"/>
      <c r="D953" s="56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</row>
    <row r="954" spans="1:24" ht="15.75" customHeight="1">
      <c r="A954" s="56"/>
      <c r="B954" s="56"/>
      <c r="C954" s="56"/>
      <c r="D954" s="56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</row>
    <row r="955" spans="1:24" ht="15.75" customHeight="1">
      <c r="A955" s="56"/>
      <c r="B955" s="56"/>
      <c r="C955" s="56"/>
      <c r="D955" s="56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</row>
    <row r="956" spans="1:24" ht="15.75" customHeight="1">
      <c r="A956" s="56"/>
      <c r="B956" s="56"/>
      <c r="C956" s="56"/>
      <c r="D956" s="56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</row>
    <row r="957" spans="1:24" ht="15.75" customHeight="1">
      <c r="A957" s="56"/>
      <c r="B957" s="56"/>
      <c r="C957" s="56"/>
      <c r="D957" s="56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</row>
    <row r="958" spans="1:24" ht="15.75" customHeight="1">
      <c r="A958" s="56"/>
      <c r="B958" s="56"/>
      <c r="C958" s="56"/>
      <c r="D958" s="56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</row>
    <row r="959" spans="1:24" ht="15.75" customHeight="1">
      <c r="A959" s="56"/>
      <c r="B959" s="56"/>
      <c r="C959" s="56"/>
      <c r="D959" s="56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</row>
    <row r="960" spans="1:24" ht="15.75" customHeight="1">
      <c r="A960" s="56"/>
      <c r="B960" s="56"/>
      <c r="C960" s="56"/>
      <c r="D960" s="56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</row>
    <row r="961" spans="1:24" ht="15.75" customHeight="1">
      <c r="A961" s="56"/>
      <c r="B961" s="56"/>
      <c r="C961" s="56"/>
      <c r="D961" s="56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</row>
    <row r="962" spans="1:24" ht="15.75" customHeight="1">
      <c r="A962" s="56"/>
      <c r="B962" s="56"/>
      <c r="C962" s="56"/>
      <c r="D962" s="56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</row>
    <row r="963" spans="1:24" ht="15.75" customHeight="1">
      <c r="A963" s="56"/>
      <c r="B963" s="56"/>
      <c r="C963" s="56"/>
      <c r="D963" s="56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</row>
    <row r="964" spans="1:24" ht="15.75" customHeight="1">
      <c r="A964" s="56"/>
      <c r="B964" s="56"/>
      <c r="C964" s="56"/>
      <c r="D964" s="56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</row>
    <row r="965" spans="1:24" ht="15.75" customHeight="1">
      <c r="A965" s="56"/>
      <c r="B965" s="56"/>
      <c r="C965" s="56"/>
      <c r="D965" s="56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</row>
    <row r="966" spans="1:24" ht="15.75" customHeight="1">
      <c r="A966" s="56"/>
      <c r="B966" s="56"/>
      <c r="C966" s="56"/>
      <c r="D966" s="56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</row>
    <row r="967" spans="1:24" ht="15.75" customHeight="1">
      <c r="A967" s="56"/>
      <c r="B967" s="56"/>
      <c r="C967" s="56"/>
      <c r="D967" s="56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</row>
    <row r="968" spans="1:24" ht="15.75" customHeight="1">
      <c r="A968" s="56"/>
      <c r="B968" s="56"/>
      <c r="C968" s="56"/>
      <c r="D968" s="56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</row>
    <row r="969" spans="1:24" ht="15.75" customHeight="1">
      <c r="A969" s="56"/>
      <c r="B969" s="56"/>
      <c r="C969" s="56"/>
      <c r="D969" s="56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</row>
    <row r="970" spans="1:24" ht="15.75" customHeight="1">
      <c r="A970" s="56"/>
      <c r="B970" s="56"/>
      <c r="C970" s="56"/>
      <c r="D970" s="56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</row>
    <row r="971" spans="1:24" ht="15.75" customHeight="1">
      <c r="A971" s="56"/>
      <c r="B971" s="56"/>
      <c r="C971" s="56"/>
      <c r="D971" s="56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</row>
    <row r="972" spans="1:24" ht="15.75" customHeight="1">
      <c r="A972" s="56"/>
      <c r="B972" s="56"/>
      <c r="C972" s="56"/>
      <c r="D972" s="56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</row>
    <row r="973" spans="1:24" ht="15.75" customHeight="1">
      <c r="A973" s="56"/>
      <c r="B973" s="56"/>
      <c r="C973" s="56"/>
      <c r="D973" s="56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</row>
    <row r="974" spans="1:24" ht="15.75" customHeight="1">
      <c r="A974" s="56"/>
      <c r="B974" s="56"/>
      <c r="C974" s="56"/>
      <c r="D974" s="56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</row>
    <row r="975" spans="1:24" ht="15.75" customHeight="1">
      <c r="A975" s="56"/>
      <c r="B975" s="56"/>
      <c r="C975" s="56"/>
      <c r="D975" s="56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</row>
    <row r="976" spans="1:24" ht="15.75" customHeight="1">
      <c r="A976" s="56"/>
      <c r="B976" s="56"/>
      <c r="C976" s="56"/>
      <c r="D976" s="56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</row>
    <row r="977" spans="1:24" ht="15.75" customHeight="1">
      <c r="A977" s="56"/>
      <c r="B977" s="56"/>
      <c r="C977" s="56"/>
      <c r="D977" s="56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</row>
    <row r="978" spans="1:24" ht="15.75" customHeight="1">
      <c r="A978" s="56"/>
      <c r="B978" s="56"/>
      <c r="C978" s="56"/>
      <c r="D978" s="56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</row>
    <row r="979" spans="1:24" ht="15.75" customHeight="1">
      <c r="A979" s="56"/>
      <c r="B979" s="56"/>
      <c r="C979" s="56"/>
      <c r="D979" s="56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</row>
    <row r="980" spans="1:24" ht="15.75" customHeight="1">
      <c r="A980" s="56"/>
      <c r="B980" s="56"/>
      <c r="C980" s="56"/>
      <c r="D980" s="56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</row>
    <row r="981" spans="1:24" ht="15.75" customHeight="1">
      <c r="A981" s="56"/>
      <c r="B981" s="56"/>
      <c r="C981" s="56"/>
      <c r="D981" s="56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</row>
    <row r="982" spans="1:24" ht="15.75" customHeight="1">
      <c r="A982" s="56"/>
      <c r="B982" s="56"/>
      <c r="C982" s="56"/>
      <c r="D982" s="56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</row>
    <row r="983" spans="1:24" ht="15.75" customHeight="1">
      <c r="A983" s="56"/>
      <c r="B983" s="56"/>
      <c r="C983" s="56"/>
      <c r="D983" s="56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</row>
    <row r="984" spans="1:24" ht="15.75" customHeight="1">
      <c r="A984" s="56"/>
      <c r="B984" s="56"/>
      <c r="C984" s="56"/>
      <c r="D984" s="56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</row>
    <row r="985" spans="1:24" ht="15.75" customHeight="1">
      <c r="A985" s="56"/>
      <c r="B985" s="56"/>
      <c r="C985" s="56"/>
      <c r="D985" s="56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</row>
    <row r="986" spans="1:24" ht="15.75" customHeight="1">
      <c r="A986" s="56"/>
      <c r="B986" s="56"/>
      <c r="C986" s="56"/>
      <c r="D986" s="56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</row>
    <row r="987" spans="1:24" ht="15.75" customHeight="1">
      <c r="A987" s="56"/>
      <c r="B987" s="56"/>
      <c r="C987" s="56"/>
      <c r="D987" s="56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</row>
    <row r="988" spans="1:24" ht="15.75" customHeight="1">
      <c r="A988" s="56"/>
      <c r="B988" s="56"/>
      <c r="C988" s="56"/>
      <c r="D988" s="56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</row>
    <row r="989" spans="1:24" ht="15.75" customHeight="1">
      <c r="A989" s="56"/>
      <c r="B989" s="56"/>
      <c r="C989" s="56"/>
      <c r="D989" s="56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</row>
    <row r="990" spans="1:24" ht="15.75" customHeight="1">
      <c r="A990" s="56"/>
      <c r="B990" s="56"/>
      <c r="C990" s="56"/>
      <c r="D990" s="56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</row>
    <row r="991" spans="1:24" ht="15.75" customHeight="1">
      <c r="A991" s="56"/>
      <c r="B991" s="56"/>
      <c r="C991" s="56"/>
      <c r="D991" s="56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</row>
    <row r="992" spans="1:24" ht="15.75" customHeight="1">
      <c r="A992" s="56"/>
      <c r="B992" s="56"/>
      <c r="C992" s="56"/>
      <c r="D992" s="56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</row>
    <row r="993" spans="1:24" ht="15.75" customHeight="1">
      <c r="A993" s="56"/>
      <c r="B993" s="56"/>
      <c r="C993" s="56"/>
      <c r="D993" s="56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</row>
    <row r="994" spans="1:24" ht="15.75" customHeight="1">
      <c r="A994" s="56"/>
      <c r="B994" s="56"/>
      <c r="C994" s="56"/>
      <c r="D994" s="56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</row>
    <row r="995" spans="1:24" ht="15.75" customHeight="1">
      <c r="A995" s="56"/>
      <c r="B995" s="56"/>
      <c r="C995" s="56"/>
      <c r="D995" s="56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</row>
    <row r="996" spans="1:24" ht="15.75" customHeight="1">
      <c r="A996" s="56"/>
      <c r="B996" s="56"/>
      <c r="C996" s="56"/>
      <c r="D996" s="56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</row>
    <row r="997" spans="1:24" ht="15.75" customHeight="1">
      <c r="A997" s="56"/>
      <c r="B997" s="56"/>
      <c r="C997" s="56"/>
      <c r="D997" s="56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</row>
    <row r="998" spans="1:24" ht="15.75" customHeight="1">
      <c r="A998" s="56"/>
      <c r="B998" s="56"/>
      <c r="C998" s="56"/>
      <c r="D998" s="56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</row>
    <row r="999" spans="1:24" ht="15.75" customHeight="1">
      <c r="A999" s="56"/>
      <c r="B999" s="56"/>
      <c r="C999" s="56"/>
      <c r="D999" s="56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</row>
    <row r="1000" spans="1:24" ht="15.75" customHeight="1">
      <c r="A1000" s="56"/>
      <c r="B1000" s="56"/>
      <c r="C1000" s="56"/>
      <c r="D1000" s="56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E1000"/>
  <sheetViews>
    <sheetView showGridLines="0" workbookViewId="0"/>
  </sheetViews>
  <sheetFormatPr baseColWidth="10" defaultColWidth="14.42578125" defaultRowHeight="15" customHeight="1"/>
  <cols>
    <col min="3" max="3" width="18.85546875" customWidth="1"/>
  </cols>
  <sheetData>
    <row r="1" spans="1:5">
      <c r="A1" s="77" t="s">
        <v>37</v>
      </c>
      <c r="B1" s="77" t="s">
        <v>25</v>
      </c>
      <c r="C1" s="78"/>
      <c r="D1" s="78"/>
      <c r="E1" s="79"/>
    </row>
    <row r="2" spans="1:5" hidden="1">
      <c r="A2" s="77" t="s">
        <v>22</v>
      </c>
      <c r="B2" s="80" t="s">
        <v>30</v>
      </c>
      <c r="C2" s="81" t="s">
        <v>8</v>
      </c>
      <c r="D2" s="81" t="s">
        <v>9</v>
      </c>
      <c r="E2" s="82" t="s">
        <v>32</v>
      </c>
    </row>
    <row r="3" spans="1:5" hidden="1">
      <c r="A3" s="80">
        <v>1</v>
      </c>
      <c r="B3" s="83"/>
      <c r="C3" s="84">
        <v>3</v>
      </c>
      <c r="D3" s="84">
        <v>5</v>
      </c>
      <c r="E3" s="85">
        <v>8</v>
      </c>
    </row>
    <row r="4" spans="1:5" hidden="1">
      <c r="A4" s="86">
        <v>2</v>
      </c>
      <c r="B4" s="87"/>
      <c r="C4" s="88">
        <v>2</v>
      </c>
      <c r="D4" s="88">
        <v>10</v>
      </c>
      <c r="E4" s="89">
        <v>12</v>
      </c>
    </row>
    <row r="5" spans="1:5" hidden="1">
      <c r="A5" s="86">
        <v>3</v>
      </c>
      <c r="B5" s="87"/>
      <c r="C5" s="88">
        <v>5</v>
      </c>
      <c r="D5" s="88">
        <v>4</v>
      </c>
      <c r="E5" s="89">
        <v>9</v>
      </c>
    </row>
    <row r="6" spans="1:5" hidden="1">
      <c r="A6" s="86">
        <v>4</v>
      </c>
      <c r="B6" s="87"/>
      <c r="C6" s="88">
        <v>2</v>
      </c>
      <c r="D6" s="88">
        <v>4</v>
      </c>
      <c r="E6" s="89">
        <v>6</v>
      </c>
    </row>
    <row r="7" spans="1:5" hidden="1">
      <c r="A7" s="86">
        <v>5</v>
      </c>
      <c r="B7" s="87"/>
      <c r="C7" s="88">
        <v>3</v>
      </c>
      <c r="D7" s="88">
        <v>10</v>
      </c>
      <c r="E7" s="89">
        <v>13</v>
      </c>
    </row>
    <row r="8" spans="1:5" hidden="1">
      <c r="A8" s="86">
        <v>6</v>
      </c>
      <c r="B8" s="87"/>
      <c r="C8" s="88">
        <v>6</v>
      </c>
      <c r="D8" s="88">
        <v>4</v>
      </c>
      <c r="E8" s="89">
        <v>10</v>
      </c>
    </row>
    <row r="9" spans="1:5" hidden="1">
      <c r="A9" s="86">
        <v>7</v>
      </c>
      <c r="B9" s="87"/>
      <c r="C9" s="88">
        <v>8</v>
      </c>
      <c r="D9" s="88">
        <v>8</v>
      </c>
      <c r="E9" s="89">
        <v>16</v>
      </c>
    </row>
    <row r="10" spans="1:5" hidden="1">
      <c r="A10" s="86">
        <v>8</v>
      </c>
      <c r="B10" s="87"/>
      <c r="C10" s="88">
        <v>2</v>
      </c>
      <c r="D10" s="88">
        <v>7</v>
      </c>
      <c r="E10" s="89">
        <v>9</v>
      </c>
    </row>
    <row r="11" spans="1:5" hidden="1">
      <c r="A11" s="86">
        <v>9</v>
      </c>
      <c r="B11" s="87"/>
      <c r="C11" s="88">
        <v>5</v>
      </c>
      <c r="D11" s="88">
        <v>11</v>
      </c>
      <c r="E11" s="89">
        <v>16</v>
      </c>
    </row>
    <row r="12" spans="1:5" hidden="1">
      <c r="A12" s="86">
        <v>10</v>
      </c>
      <c r="B12" s="87"/>
      <c r="C12" s="88">
        <v>5</v>
      </c>
      <c r="D12" s="88">
        <v>10</v>
      </c>
      <c r="E12" s="89">
        <v>15</v>
      </c>
    </row>
    <row r="13" spans="1:5" hidden="1">
      <c r="A13" s="86">
        <v>11</v>
      </c>
      <c r="B13" s="87"/>
      <c r="C13" s="88">
        <v>3</v>
      </c>
      <c r="D13" s="88">
        <v>2</v>
      </c>
      <c r="E13" s="89">
        <v>5</v>
      </c>
    </row>
    <row r="14" spans="1:5" hidden="1">
      <c r="A14" s="86">
        <v>12</v>
      </c>
      <c r="B14" s="87"/>
      <c r="C14" s="88">
        <v>3</v>
      </c>
      <c r="D14" s="88">
        <v>5</v>
      </c>
      <c r="E14" s="89">
        <v>8</v>
      </c>
    </row>
    <row r="15" spans="1:5" hidden="1">
      <c r="A15" s="86">
        <v>13</v>
      </c>
      <c r="B15" s="87"/>
      <c r="C15" s="88">
        <v>4</v>
      </c>
      <c r="D15" s="88">
        <v>7</v>
      </c>
      <c r="E15" s="89">
        <v>11</v>
      </c>
    </row>
    <row r="16" spans="1:5">
      <c r="A16" s="86">
        <v>14</v>
      </c>
      <c r="B16" s="87"/>
      <c r="C16" s="88">
        <v>4</v>
      </c>
      <c r="D16" s="88">
        <v>10</v>
      </c>
      <c r="E16" s="89">
        <v>14</v>
      </c>
    </row>
    <row r="17" spans="1:5" hidden="1">
      <c r="A17" s="86">
        <v>15</v>
      </c>
      <c r="B17" s="87"/>
      <c r="C17" s="88">
        <v>3</v>
      </c>
      <c r="D17" s="88">
        <v>13</v>
      </c>
      <c r="E17" s="89">
        <v>16</v>
      </c>
    </row>
    <row r="18" spans="1:5" hidden="1">
      <c r="A18" s="86">
        <v>16</v>
      </c>
      <c r="B18" s="87"/>
      <c r="C18" s="88">
        <v>6</v>
      </c>
      <c r="D18" s="88">
        <v>8</v>
      </c>
      <c r="E18" s="89">
        <v>14</v>
      </c>
    </row>
    <row r="19" spans="1:5" hidden="1">
      <c r="A19" s="86">
        <v>17</v>
      </c>
      <c r="B19" s="87"/>
      <c r="C19" s="88">
        <v>3</v>
      </c>
      <c r="D19" s="88">
        <v>13</v>
      </c>
      <c r="E19" s="89">
        <v>16</v>
      </c>
    </row>
    <row r="20" spans="1:5" hidden="1">
      <c r="A20" s="86">
        <v>18</v>
      </c>
      <c r="B20" s="87"/>
      <c r="C20" s="88">
        <v>8</v>
      </c>
      <c r="D20" s="88">
        <v>7</v>
      </c>
      <c r="E20" s="89">
        <v>15</v>
      </c>
    </row>
    <row r="21" spans="1:5">
      <c r="A21" s="86">
        <v>19</v>
      </c>
      <c r="B21" s="87"/>
      <c r="C21" s="88">
        <v>3</v>
      </c>
      <c r="D21" s="88">
        <v>11</v>
      </c>
      <c r="E21" s="89">
        <v>14</v>
      </c>
    </row>
    <row r="22" spans="1:5" hidden="1">
      <c r="A22" s="86">
        <v>20</v>
      </c>
      <c r="B22" s="87"/>
      <c r="C22" s="88">
        <v>6</v>
      </c>
      <c r="D22" s="88">
        <v>12</v>
      </c>
      <c r="E22" s="89">
        <v>18</v>
      </c>
    </row>
    <row r="23" spans="1:5">
      <c r="A23" s="86">
        <v>21</v>
      </c>
      <c r="B23" s="87"/>
      <c r="C23" s="88"/>
      <c r="D23" s="88">
        <v>10</v>
      </c>
      <c r="E23" s="89">
        <v>10</v>
      </c>
    </row>
    <row r="24" spans="1:5" hidden="1">
      <c r="A24" s="86">
        <v>22</v>
      </c>
      <c r="B24" s="87"/>
      <c r="C24" s="88">
        <v>5</v>
      </c>
      <c r="D24" s="88">
        <v>10</v>
      </c>
      <c r="E24" s="89">
        <v>15</v>
      </c>
    </row>
    <row r="25" spans="1:5">
      <c r="A25" s="86">
        <v>23</v>
      </c>
      <c r="B25" s="87"/>
      <c r="C25" s="88">
        <v>8</v>
      </c>
      <c r="D25" s="88">
        <v>7</v>
      </c>
      <c r="E25" s="89">
        <v>15</v>
      </c>
    </row>
    <row r="26" spans="1:5">
      <c r="A26" s="86">
        <v>24</v>
      </c>
      <c r="B26" s="87"/>
      <c r="C26" s="88">
        <v>10</v>
      </c>
      <c r="D26" s="88">
        <v>14</v>
      </c>
      <c r="E26" s="89">
        <v>24</v>
      </c>
    </row>
    <row r="27" spans="1:5">
      <c r="A27" s="86">
        <v>25</v>
      </c>
      <c r="B27" s="87"/>
      <c r="C27" s="88">
        <v>5</v>
      </c>
      <c r="D27" s="88">
        <v>18</v>
      </c>
      <c r="E27" s="89">
        <v>23</v>
      </c>
    </row>
    <row r="28" spans="1:5" hidden="1">
      <c r="A28" s="86">
        <v>26</v>
      </c>
      <c r="B28" s="87"/>
      <c r="C28" s="88">
        <v>10</v>
      </c>
      <c r="D28" s="88">
        <v>11</v>
      </c>
      <c r="E28" s="89">
        <v>21</v>
      </c>
    </row>
    <row r="29" spans="1:5" hidden="1">
      <c r="A29" s="86">
        <v>27</v>
      </c>
      <c r="B29" s="87"/>
      <c r="C29" s="88">
        <v>7</v>
      </c>
      <c r="D29" s="88">
        <v>10</v>
      </c>
      <c r="E29" s="89">
        <v>17</v>
      </c>
    </row>
    <row r="30" spans="1:5" hidden="1">
      <c r="A30" s="86">
        <v>28</v>
      </c>
      <c r="B30" s="87"/>
      <c r="C30" s="88">
        <v>9</v>
      </c>
      <c r="D30" s="88">
        <v>8</v>
      </c>
      <c r="E30" s="89">
        <v>17</v>
      </c>
    </row>
    <row r="31" spans="1:5" hidden="1">
      <c r="A31" s="86">
        <v>29</v>
      </c>
      <c r="B31" s="87"/>
      <c r="C31" s="88">
        <v>5</v>
      </c>
      <c r="D31" s="88">
        <v>11</v>
      </c>
      <c r="E31" s="89">
        <v>16</v>
      </c>
    </row>
    <row r="32" spans="1:5">
      <c r="A32" s="86">
        <v>30</v>
      </c>
      <c r="B32" s="87"/>
      <c r="C32" s="88">
        <v>8</v>
      </c>
      <c r="D32" s="88">
        <v>10</v>
      </c>
      <c r="E32" s="89">
        <v>18</v>
      </c>
    </row>
    <row r="33" spans="1:5" hidden="1">
      <c r="A33" s="86">
        <v>31</v>
      </c>
      <c r="B33" s="87"/>
      <c r="C33" s="88">
        <v>11</v>
      </c>
      <c r="D33" s="88">
        <v>8</v>
      </c>
      <c r="E33" s="89">
        <v>19</v>
      </c>
    </row>
    <row r="34" spans="1:5" hidden="1">
      <c r="A34" s="86">
        <v>32</v>
      </c>
      <c r="B34" s="87"/>
      <c r="C34" s="88"/>
      <c r="D34" s="88">
        <v>11</v>
      </c>
      <c r="E34" s="89">
        <v>11</v>
      </c>
    </row>
    <row r="35" spans="1:5" hidden="1">
      <c r="A35" s="86">
        <v>33</v>
      </c>
      <c r="B35" s="87"/>
      <c r="C35" s="88">
        <v>4</v>
      </c>
      <c r="D35" s="88">
        <v>4</v>
      </c>
      <c r="E35" s="89">
        <v>8</v>
      </c>
    </row>
    <row r="36" spans="1:5">
      <c r="A36" s="86">
        <v>34</v>
      </c>
      <c r="B36" s="87"/>
      <c r="C36" s="88">
        <v>8</v>
      </c>
      <c r="D36" s="88">
        <v>6</v>
      </c>
      <c r="E36" s="89">
        <v>14</v>
      </c>
    </row>
    <row r="37" spans="1:5">
      <c r="A37" s="86">
        <v>35</v>
      </c>
      <c r="B37" s="87"/>
      <c r="C37" s="88">
        <v>7</v>
      </c>
      <c r="D37" s="88">
        <v>9</v>
      </c>
      <c r="E37" s="89">
        <v>16</v>
      </c>
    </row>
    <row r="38" spans="1:5" hidden="1">
      <c r="A38" s="86">
        <v>36</v>
      </c>
      <c r="B38" s="87"/>
      <c r="C38" s="88">
        <v>8</v>
      </c>
      <c r="D38" s="88">
        <v>11</v>
      </c>
      <c r="E38" s="89">
        <v>19</v>
      </c>
    </row>
    <row r="39" spans="1:5">
      <c r="A39" s="86">
        <v>37</v>
      </c>
      <c r="B39" s="87"/>
      <c r="C39" s="88">
        <v>2</v>
      </c>
      <c r="D39" s="88">
        <v>6</v>
      </c>
      <c r="E39" s="89">
        <v>8</v>
      </c>
    </row>
    <row r="40" spans="1:5" hidden="1">
      <c r="A40" s="86">
        <v>38</v>
      </c>
      <c r="B40" s="87"/>
      <c r="C40" s="88">
        <v>10</v>
      </c>
      <c r="D40" s="88">
        <v>9</v>
      </c>
      <c r="E40" s="89">
        <v>19</v>
      </c>
    </row>
    <row r="41" spans="1:5" hidden="1">
      <c r="A41" s="86">
        <v>39</v>
      </c>
      <c r="B41" s="87"/>
      <c r="C41" s="88">
        <v>4</v>
      </c>
      <c r="D41" s="88">
        <v>5</v>
      </c>
      <c r="E41" s="89">
        <v>9</v>
      </c>
    </row>
    <row r="42" spans="1:5" hidden="1">
      <c r="A42" s="86">
        <v>40</v>
      </c>
      <c r="B42" s="87"/>
      <c r="C42" s="88">
        <v>2</v>
      </c>
      <c r="D42" s="88">
        <v>6</v>
      </c>
      <c r="E42" s="89">
        <v>8</v>
      </c>
    </row>
    <row r="43" spans="1:5" hidden="1">
      <c r="A43" s="86">
        <v>41</v>
      </c>
      <c r="B43" s="87"/>
      <c r="C43" s="88">
        <v>4</v>
      </c>
      <c r="D43" s="88">
        <v>7</v>
      </c>
      <c r="E43" s="89">
        <v>11</v>
      </c>
    </row>
    <row r="44" spans="1:5" hidden="1">
      <c r="A44" s="86">
        <v>42</v>
      </c>
      <c r="B44" s="87"/>
      <c r="C44" s="88">
        <v>3</v>
      </c>
      <c r="D44" s="88">
        <v>7</v>
      </c>
      <c r="E44" s="89">
        <v>10</v>
      </c>
    </row>
    <row r="45" spans="1:5" hidden="1">
      <c r="A45" s="86">
        <v>43</v>
      </c>
      <c r="B45" s="87"/>
      <c r="C45" s="88">
        <v>5</v>
      </c>
      <c r="D45" s="88">
        <v>5</v>
      </c>
      <c r="E45" s="89">
        <v>10</v>
      </c>
    </row>
    <row r="46" spans="1:5" hidden="1">
      <c r="A46" s="86">
        <v>44</v>
      </c>
      <c r="B46" s="87"/>
      <c r="C46" s="88">
        <v>2</v>
      </c>
      <c r="D46" s="88">
        <v>4</v>
      </c>
      <c r="E46" s="89">
        <v>6</v>
      </c>
    </row>
    <row r="47" spans="1:5" hidden="1">
      <c r="A47" s="86">
        <v>45</v>
      </c>
      <c r="B47" s="87"/>
      <c r="C47" s="88">
        <v>2</v>
      </c>
      <c r="D47" s="88">
        <v>2</v>
      </c>
      <c r="E47" s="89">
        <v>4</v>
      </c>
    </row>
    <row r="48" spans="1:5" hidden="1">
      <c r="A48" s="86">
        <v>46</v>
      </c>
      <c r="B48" s="87"/>
      <c r="C48" s="88">
        <v>2</v>
      </c>
      <c r="D48" s="88">
        <v>5</v>
      </c>
      <c r="E48" s="89">
        <v>7</v>
      </c>
    </row>
    <row r="49" spans="1:5" hidden="1">
      <c r="A49" s="86">
        <v>47</v>
      </c>
      <c r="B49" s="87"/>
      <c r="C49" s="88">
        <v>5</v>
      </c>
      <c r="D49" s="88">
        <v>2</v>
      </c>
      <c r="E49" s="89">
        <v>7</v>
      </c>
    </row>
    <row r="50" spans="1:5" hidden="1">
      <c r="A50" s="86">
        <v>48</v>
      </c>
      <c r="B50" s="87"/>
      <c r="C50" s="88">
        <v>2</v>
      </c>
      <c r="D50" s="88">
        <v>7</v>
      </c>
      <c r="E50" s="89">
        <v>9</v>
      </c>
    </row>
    <row r="51" spans="1:5" hidden="1">
      <c r="A51" s="86">
        <v>49</v>
      </c>
      <c r="B51" s="87"/>
      <c r="C51" s="88">
        <v>1</v>
      </c>
      <c r="D51" s="88">
        <v>4</v>
      </c>
      <c r="E51" s="89">
        <v>5</v>
      </c>
    </row>
    <row r="52" spans="1:5" hidden="1">
      <c r="A52" s="86">
        <v>50</v>
      </c>
      <c r="B52" s="87"/>
      <c r="C52" s="88"/>
      <c r="D52" s="88">
        <v>5</v>
      </c>
      <c r="E52" s="89">
        <v>5</v>
      </c>
    </row>
    <row r="53" spans="1:5" hidden="1">
      <c r="A53" s="86">
        <v>51</v>
      </c>
      <c r="B53" s="87"/>
      <c r="C53" s="88">
        <v>2</v>
      </c>
      <c r="D53" s="88">
        <v>6</v>
      </c>
      <c r="E53" s="89">
        <v>8</v>
      </c>
    </row>
    <row r="54" spans="1:5" hidden="1">
      <c r="A54" s="86">
        <v>52</v>
      </c>
      <c r="B54" s="87"/>
      <c r="C54" s="88">
        <v>1</v>
      </c>
      <c r="D54" s="88">
        <v>3</v>
      </c>
      <c r="E54" s="89">
        <v>4</v>
      </c>
    </row>
    <row r="55" spans="1:5" hidden="1">
      <c r="A55" s="86">
        <v>53</v>
      </c>
      <c r="B55" s="87"/>
      <c r="C55" s="88">
        <v>1</v>
      </c>
      <c r="D55" s="88">
        <v>1</v>
      </c>
      <c r="E55" s="89">
        <v>2</v>
      </c>
    </row>
    <row r="56" spans="1:5" hidden="1">
      <c r="A56" s="86">
        <v>54</v>
      </c>
      <c r="B56" s="87"/>
      <c r="C56" s="88">
        <v>2</v>
      </c>
      <c r="D56" s="88">
        <v>1</v>
      </c>
      <c r="E56" s="89">
        <v>3</v>
      </c>
    </row>
    <row r="57" spans="1:5" hidden="1">
      <c r="A57" s="86">
        <v>55</v>
      </c>
      <c r="B57" s="87"/>
      <c r="C57" s="88"/>
      <c r="D57" s="88">
        <v>1</v>
      </c>
      <c r="E57" s="89">
        <v>1</v>
      </c>
    </row>
    <row r="58" spans="1:5" hidden="1">
      <c r="A58" s="86">
        <v>56</v>
      </c>
      <c r="B58" s="87"/>
      <c r="C58" s="88"/>
      <c r="D58" s="88">
        <v>1</v>
      </c>
      <c r="E58" s="89">
        <v>1</v>
      </c>
    </row>
    <row r="59" spans="1:5" hidden="1">
      <c r="A59" s="86">
        <v>57</v>
      </c>
      <c r="B59" s="87"/>
      <c r="C59" s="88"/>
      <c r="D59" s="88">
        <v>4</v>
      </c>
      <c r="E59" s="89">
        <v>4</v>
      </c>
    </row>
    <row r="60" spans="1:5" hidden="1">
      <c r="A60" s="86">
        <v>58</v>
      </c>
      <c r="B60" s="87"/>
      <c r="C60" s="88">
        <v>1</v>
      </c>
      <c r="D60" s="88"/>
      <c r="E60" s="89">
        <v>1</v>
      </c>
    </row>
    <row r="61" spans="1:5" hidden="1">
      <c r="A61" s="86">
        <v>59</v>
      </c>
      <c r="B61" s="87"/>
      <c r="C61" s="88">
        <v>1</v>
      </c>
      <c r="D61" s="88"/>
      <c r="E61" s="89">
        <v>1</v>
      </c>
    </row>
    <row r="62" spans="1:5" hidden="1">
      <c r="A62" s="86">
        <v>60</v>
      </c>
      <c r="B62" s="87"/>
      <c r="C62" s="88">
        <v>1</v>
      </c>
      <c r="D62" s="88"/>
      <c r="E62" s="89">
        <v>1</v>
      </c>
    </row>
    <row r="63" spans="1:5" hidden="1">
      <c r="A63" s="86">
        <v>62</v>
      </c>
      <c r="B63" s="87"/>
      <c r="C63" s="88">
        <v>1</v>
      </c>
      <c r="D63" s="88"/>
      <c r="E63" s="89">
        <v>1</v>
      </c>
    </row>
    <row r="64" spans="1:5" hidden="1">
      <c r="A64" s="86">
        <v>63</v>
      </c>
      <c r="B64" s="87"/>
      <c r="C64" s="88">
        <v>1</v>
      </c>
      <c r="D64" s="88"/>
      <c r="E64" s="89">
        <v>1</v>
      </c>
    </row>
    <row r="65" spans="1:5" hidden="1">
      <c r="A65" s="86">
        <v>64</v>
      </c>
      <c r="B65" s="87"/>
      <c r="C65" s="88"/>
      <c r="D65" s="88">
        <v>1</v>
      </c>
      <c r="E65" s="89">
        <v>1</v>
      </c>
    </row>
    <row r="66" spans="1:5" hidden="1">
      <c r="A66" s="86">
        <v>67</v>
      </c>
      <c r="B66" s="87"/>
      <c r="C66" s="88">
        <v>2</v>
      </c>
      <c r="D66" s="88"/>
      <c r="E66" s="89">
        <v>2</v>
      </c>
    </row>
    <row r="67" spans="1:5" hidden="1">
      <c r="A67" s="86">
        <v>68</v>
      </c>
      <c r="B67" s="87"/>
      <c r="C67" s="88"/>
      <c r="D67" s="88">
        <v>1</v>
      </c>
      <c r="E67" s="89">
        <v>1</v>
      </c>
    </row>
    <row r="68" spans="1:5" hidden="1">
      <c r="A68" s="86">
        <v>74</v>
      </c>
      <c r="B68" s="87"/>
      <c r="C68" s="88"/>
      <c r="D68" s="88">
        <v>1</v>
      </c>
      <c r="E68" s="89">
        <v>1</v>
      </c>
    </row>
    <row r="69" spans="1:5" hidden="1">
      <c r="A69" s="86" t="s">
        <v>27</v>
      </c>
      <c r="B69" s="87">
        <v>1</v>
      </c>
      <c r="C69" s="88"/>
      <c r="D69" s="88"/>
      <c r="E69" s="89">
        <v>1</v>
      </c>
    </row>
    <row r="70" spans="1:5" hidden="1">
      <c r="A70" s="90" t="s">
        <v>32</v>
      </c>
      <c r="B70" s="91">
        <v>1</v>
      </c>
      <c r="C70" s="92">
        <v>246</v>
      </c>
      <c r="D70" s="92">
        <v>413</v>
      </c>
      <c r="E70" s="93">
        <v>660</v>
      </c>
    </row>
    <row r="71" spans="1:5" hidden="1"/>
    <row r="72" spans="1:5" hidden="1"/>
    <row r="73" spans="1:5" hidden="1"/>
    <row r="74" spans="1:5" hidden="1"/>
    <row r="75" spans="1:5" hidden="1"/>
    <row r="76" spans="1:5" hidden="1"/>
    <row r="77" spans="1:5" hidden="1"/>
    <row r="78" spans="1:5" hidden="1"/>
    <row r="79" spans="1:5" hidden="1"/>
    <row r="80" spans="1:5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C1:C1000" xr:uid="{00000000-0009-0000-0000-000002000000}">
    <filterColumn colId="0">
      <filters>
        <filter val="SUM de  montant d'achat"/>
        <filter val="0.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X1002"/>
  <sheetViews>
    <sheetView showGridLines="0" workbookViewId="0"/>
  </sheetViews>
  <sheetFormatPr baseColWidth="10" defaultColWidth="14.42578125" defaultRowHeight="15" customHeight="1"/>
  <cols>
    <col min="1" max="1" width="11" customWidth="1"/>
    <col min="2" max="2" width="10.42578125" hidden="1" customWidth="1"/>
    <col min="3" max="3" width="11.28515625" hidden="1" customWidth="1"/>
    <col min="4" max="4" width="4.5703125" hidden="1" customWidth="1"/>
    <col min="5" max="5" width="12.140625" hidden="1" customWidth="1"/>
    <col min="6" max="6" width="10.7109375" customWidth="1"/>
    <col min="7" max="7" width="18" customWidth="1"/>
    <col min="8" max="8" width="13.5703125" customWidth="1"/>
    <col min="9" max="9" width="15.7109375" customWidth="1"/>
    <col min="10" max="10" width="16.28515625" customWidth="1"/>
    <col min="11" max="11" width="17.85546875" customWidth="1"/>
    <col min="12" max="24" width="10.7109375" customWidth="1"/>
  </cols>
  <sheetData>
    <row r="1" spans="1:24">
      <c r="A1" s="58"/>
      <c r="B1" s="59"/>
      <c r="C1" s="59"/>
      <c r="D1" s="59"/>
      <c r="E1" s="59"/>
    </row>
    <row r="2" spans="1:24" ht="31.5" customHeight="1">
      <c r="A2" s="76" t="s">
        <v>33</v>
      </c>
      <c r="B2" s="67"/>
      <c r="C2" s="67"/>
      <c r="D2" s="67"/>
      <c r="E2" s="67"/>
      <c r="F2" s="67"/>
      <c r="G2" s="67"/>
      <c r="H2" s="67"/>
      <c r="I2" s="67"/>
      <c r="J2" s="67"/>
      <c r="K2" s="68"/>
    </row>
    <row r="3" spans="1:24">
      <c r="A3" s="60"/>
      <c r="B3" s="60" t="s">
        <v>25</v>
      </c>
      <c r="C3" s="60" t="s">
        <v>31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>
      <c r="A4" s="61"/>
      <c r="B4" s="61"/>
      <c r="C4" s="61"/>
      <c r="D4" s="61" t="s">
        <v>30</v>
      </c>
      <c r="E4" s="61"/>
      <c r="F4" s="61" t="s">
        <v>8</v>
      </c>
      <c r="G4" s="61"/>
      <c r="H4" s="61" t="s">
        <v>9</v>
      </c>
      <c r="I4" s="61"/>
      <c r="J4" s="61" t="s">
        <v>32</v>
      </c>
      <c r="K4" s="61"/>
    </row>
    <row r="5" spans="1:24">
      <c r="A5" s="61" t="s">
        <v>34</v>
      </c>
      <c r="B5" s="61" t="s">
        <v>35</v>
      </c>
      <c r="C5" s="61" t="s">
        <v>36</v>
      </c>
      <c r="D5" s="61" t="s">
        <v>35</v>
      </c>
      <c r="E5" s="61" t="s">
        <v>36</v>
      </c>
      <c r="F5" s="61" t="s">
        <v>35</v>
      </c>
      <c r="G5" s="61" t="s">
        <v>36</v>
      </c>
      <c r="H5" s="61" t="s">
        <v>35</v>
      </c>
      <c r="I5" s="61" t="s">
        <v>36</v>
      </c>
      <c r="J5" s="61" t="s">
        <v>35</v>
      </c>
      <c r="K5" s="61" t="s">
        <v>36</v>
      </c>
    </row>
    <row r="6" spans="1:24" hidden="1">
      <c r="A6" s="61"/>
      <c r="B6" s="61">
        <v>0</v>
      </c>
      <c r="C6" s="61">
        <v>0</v>
      </c>
      <c r="D6" s="61"/>
      <c r="E6" s="61"/>
      <c r="F6" s="61"/>
      <c r="G6" s="61"/>
      <c r="H6" s="61"/>
      <c r="I6" s="61"/>
      <c r="J6" s="61">
        <v>0</v>
      </c>
      <c r="K6" s="61">
        <v>0</v>
      </c>
    </row>
    <row r="7" spans="1:24">
      <c r="A7" s="61">
        <v>1</v>
      </c>
      <c r="B7" s="61"/>
      <c r="C7" s="61"/>
      <c r="D7" s="61"/>
      <c r="E7" s="61"/>
      <c r="F7" s="61">
        <v>3</v>
      </c>
      <c r="G7" s="62">
        <v>144.78</v>
      </c>
      <c r="H7" s="61">
        <v>5</v>
      </c>
      <c r="I7" s="62">
        <v>233.41</v>
      </c>
      <c r="J7" s="61">
        <v>8</v>
      </c>
      <c r="K7" s="62">
        <v>378.19</v>
      </c>
    </row>
    <row r="8" spans="1:24">
      <c r="A8" s="61">
        <v>2</v>
      </c>
      <c r="B8" s="61"/>
      <c r="C8" s="61"/>
      <c r="D8" s="61"/>
      <c r="E8" s="61"/>
      <c r="F8" s="61">
        <v>2</v>
      </c>
      <c r="G8" s="62">
        <v>139.25</v>
      </c>
      <c r="H8" s="61">
        <v>10</v>
      </c>
      <c r="I8" s="62">
        <v>728.96999999999991</v>
      </c>
      <c r="J8" s="61">
        <v>12</v>
      </c>
      <c r="K8" s="62">
        <v>868.21999999999991</v>
      </c>
    </row>
    <row r="9" spans="1:24">
      <c r="A9" s="61">
        <v>3</v>
      </c>
      <c r="B9" s="61"/>
      <c r="C9" s="61"/>
      <c r="D9" s="61"/>
      <c r="E9" s="61"/>
      <c r="F9" s="61">
        <v>5</v>
      </c>
      <c r="G9" s="62">
        <v>354.67</v>
      </c>
      <c r="H9" s="61">
        <v>4</v>
      </c>
      <c r="I9" s="62">
        <v>275.13</v>
      </c>
      <c r="J9" s="61">
        <v>9</v>
      </c>
      <c r="K9" s="62">
        <v>629.80000000000007</v>
      </c>
    </row>
    <row r="10" spans="1:24">
      <c r="A10" s="61">
        <v>4</v>
      </c>
      <c r="B10" s="61"/>
      <c r="C10" s="61"/>
      <c r="D10" s="61"/>
      <c r="E10" s="61"/>
      <c r="F10" s="61">
        <v>2</v>
      </c>
      <c r="G10" s="62">
        <v>138.84</v>
      </c>
      <c r="H10" s="61">
        <v>4</v>
      </c>
      <c r="I10" s="62">
        <v>272.82</v>
      </c>
      <c r="J10" s="61">
        <v>6</v>
      </c>
      <c r="K10" s="62">
        <v>411.65999999999997</v>
      </c>
    </row>
    <row r="11" spans="1:24">
      <c r="A11" s="61">
        <v>5</v>
      </c>
      <c r="B11" s="61"/>
      <c r="C11" s="61"/>
      <c r="D11" s="61"/>
      <c r="E11" s="61"/>
      <c r="F11" s="61">
        <v>3</v>
      </c>
      <c r="G11" s="62">
        <v>157.01</v>
      </c>
      <c r="H11" s="61">
        <v>10</v>
      </c>
      <c r="I11" s="62">
        <v>580.51999999999987</v>
      </c>
      <c r="J11" s="61">
        <v>13</v>
      </c>
      <c r="K11" s="62">
        <v>737.53</v>
      </c>
    </row>
    <row r="12" spans="1:24">
      <c r="A12" s="61">
        <v>6</v>
      </c>
      <c r="B12" s="61"/>
      <c r="C12" s="61"/>
      <c r="D12" s="61"/>
      <c r="E12" s="61"/>
      <c r="F12" s="61">
        <v>6</v>
      </c>
      <c r="G12" s="62">
        <v>265.19</v>
      </c>
      <c r="H12" s="61">
        <v>4</v>
      </c>
      <c r="I12" s="62">
        <v>248.14</v>
      </c>
      <c r="J12" s="61">
        <v>10</v>
      </c>
      <c r="K12" s="62">
        <v>513.32999999999993</v>
      </c>
    </row>
    <row r="13" spans="1:24">
      <c r="A13" s="61">
        <v>7</v>
      </c>
      <c r="B13" s="61"/>
      <c r="C13" s="61"/>
      <c r="D13" s="61"/>
      <c r="E13" s="61"/>
      <c r="F13" s="61">
        <v>8</v>
      </c>
      <c r="G13" s="62">
        <v>450.84</v>
      </c>
      <c r="H13" s="61">
        <v>8</v>
      </c>
      <c r="I13" s="62">
        <v>320.98999999999995</v>
      </c>
      <c r="J13" s="61">
        <v>16</v>
      </c>
      <c r="K13" s="62">
        <v>771.82999999999993</v>
      </c>
    </row>
    <row r="14" spans="1:24">
      <c r="A14" s="61">
        <v>8</v>
      </c>
      <c r="B14" s="61"/>
      <c r="C14" s="61"/>
      <c r="D14" s="61"/>
      <c r="E14" s="61"/>
      <c r="F14" s="61">
        <v>2</v>
      </c>
      <c r="G14" s="62">
        <v>138.24</v>
      </c>
      <c r="H14" s="61">
        <v>7</v>
      </c>
      <c r="I14" s="62">
        <v>373.76000000000005</v>
      </c>
      <c r="J14" s="61">
        <v>9</v>
      </c>
      <c r="K14" s="62">
        <v>512</v>
      </c>
    </row>
    <row r="15" spans="1:24">
      <c r="A15" s="61">
        <v>9</v>
      </c>
      <c r="B15" s="61"/>
      <c r="C15" s="61"/>
      <c r="D15" s="61"/>
      <c r="E15" s="61"/>
      <c r="F15" s="61">
        <v>5</v>
      </c>
      <c r="G15" s="62">
        <v>271.38</v>
      </c>
      <c r="H15" s="61">
        <v>11</v>
      </c>
      <c r="I15" s="62">
        <v>608.84</v>
      </c>
      <c r="J15" s="61">
        <v>16</v>
      </c>
      <c r="K15" s="62">
        <v>880.21999999999991</v>
      </c>
    </row>
    <row r="16" spans="1:24">
      <c r="A16" s="61">
        <v>10</v>
      </c>
      <c r="B16" s="61"/>
      <c r="C16" s="61"/>
      <c r="D16" s="61"/>
      <c r="E16" s="61"/>
      <c r="F16" s="61">
        <v>5</v>
      </c>
      <c r="G16" s="62">
        <v>206.17000000000002</v>
      </c>
      <c r="H16" s="61">
        <v>10</v>
      </c>
      <c r="I16" s="62">
        <v>523.89</v>
      </c>
      <c r="J16" s="61">
        <v>15</v>
      </c>
      <c r="K16" s="62">
        <v>730.06000000000017</v>
      </c>
    </row>
    <row r="17" spans="1:11">
      <c r="A17" s="61">
        <v>11</v>
      </c>
      <c r="B17" s="61"/>
      <c r="C17" s="61"/>
      <c r="D17" s="61"/>
      <c r="E17" s="61"/>
      <c r="F17" s="61">
        <v>3</v>
      </c>
      <c r="G17" s="62">
        <v>147.13999999999999</v>
      </c>
      <c r="H17" s="61">
        <v>2</v>
      </c>
      <c r="I17" s="62">
        <v>99.86</v>
      </c>
      <c r="J17" s="61">
        <v>5</v>
      </c>
      <c r="K17" s="62">
        <v>246.99999999999997</v>
      </c>
    </row>
    <row r="18" spans="1:11">
      <c r="A18" s="61">
        <v>12</v>
      </c>
      <c r="B18" s="61"/>
      <c r="C18" s="61"/>
      <c r="D18" s="61"/>
      <c r="E18" s="61"/>
      <c r="F18" s="61">
        <v>3</v>
      </c>
      <c r="G18" s="62">
        <v>162.19999999999999</v>
      </c>
      <c r="H18" s="61">
        <v>5</v>
      </c>
      <c r="I18" s="62">
        <v>260.83</v>
      </c>
      <c r="J18" s="61">
        <v>8</v>
      </c>
      <c r="K18" s="62">
        <v>423.03000000000003</v>
      </c>
    </row>
    <row r="19" spans="1:11">
      <c r="A19" s="61">
        <v>13</v>
      </c>
      <c r="B19" s="61"/>
      <c r="C19" s="61"/>
      <c r="D19" s="61"/>
      <c r="E19" s="61"/>
      <c r="F19" s="61">
        <v>4</v>
      </c>
      <c r="G19" s="62">
        <v>277.76</v>
      </c>
      <c r="H19" s="61">
        <v>7</v>
      </c>
      <c r="I19" s="62">
        <v>311.83</v>
      </c>
      <c r="J19" s="61">
        <v>11</v>
      </c>
      <c r="K19" s="62">
        <v>589.59</v>
      </c>
    </row>
    <row r="20" spans="1:11">
      <c r="A20" s="61">
        <v>14</v>
      </c>
      <c r="B20" s="61"/>
      <c r="C20" s="61"/>
      <c r="D20" s="61"/>
      <c r="E20" s="61"/>
      <c r="F20" s="61">
        <v>4</v>
      </c>
      <c r="G20" s="62">
        <v>258.84000000000003</v>
      </c>
      <c r="H20" s="61">
        <v>10</v>
      </c>
      <c r="I20" s="62">
        <v>612.15000000000009</v>
      </c>
      <c r="J20" s="61">
        <v>14</v>
      </c>
      <c r="K20" s="62">
        <v>870.99000000000012</v>
      </c>
    </row>
    <row r="21" spans="1:11" ht="15.75" customHeight="1">
      <c r="A21" s="61">
        <v>15</v>
      </c>
      <c r="B21" s="61"/>
      <c r="C21" s="61"/>
      <c r="D21" s="61"/>
      <c r="E21" s="61"/>
      <c r="F21" s="61">
        <v>3</v>
      </c>
      <c r="G21" s="62">
        <v>132.30000000000001</v>
      </c>
      <c r="H21" s="61">
        <v>13</v>
      </c>
      <c r="I21" s="62">
        <v>872.33999999999992</v>
      </c>
      <c r="J21" s="61">
        <v>16</v>
      </c>
      <c r="K21" s="62">
        <v>1004.64</v>
      </c>
    </row>
    <row r="22" spans="1:11" ht="15.75" customHeight="1">
      <c r="A22" s="61">
        <v>16</v>
      </c>
      <c r="B22" s="61"/>
      <c r="C22" s="61"/>
      <c r="D22" s="61"/>
      <c r="E22" s="61"/>
      <c r="F22" s="61">
        <v>6</v>
      </c>
      <c r="G22" s="62">
        <v>361.74</v>
      </c>
      <c r="H22" s="61">
        <v>8</v>
      </c>
      <c r="I22" s="62">
        <v>588.88</v>
      </c>
      <c r="J22" s="61">
        <v>14</v>
      </c>
      <c r="K22" s="62">
        <v>950.61999999999989</v>
      </c>
    </row>
    <row r="23" spans="1:11" ht="15.75" customHeight="1">
      <c r="A23" s="61">
        <v>17</v>
      </c>
      <c r="B23" s="61"/>
      <c r="C23" s="61"/>
      <c r="D23" s="61"/>
      <c r="E23" s="61"/>
      <c r="F23" s="61">
        <v>3</v>
      </c>
      <c r="G23" s="62">
        <v>118.46000000000001</v>
      </c>
      <c r="H23" s="61">
        <v>13</v>
      </c>
      <c r="I23" s="62">
        <v>783.24999999999989</v>
      </c>
      <c r="J23" s="61">
        <v>16</v>
      </c>
      <c r="K23" s="62">
        <v>901.70999999999992</v>
      </c>
    </row>
    <row r="24" spans="1:11" ht="15.75" customHeight="1">
      <c r="A24" s="61">
        <v>18</v>
      </c>
      <c r="B24" s="61"/>
      <c r="C24" s="61"/>
      <c r="D24" s="61"/>
      <c r="E24" s="61"/>
      <c r="F24" s="61">
        <v>8</v>
      </c>
      <c r="G24" s="62">
        <v>417.1</v>
      </c>
      <c r="H24" s="61">
        <v>7</v>
      </c>
      <c r="I24" s="62">
        <v>483.06</v>
      </c>
      <c r="J24" s="61">
        <v>15</v>
      </c>
      <c r="K24" s="62">
        <v>900.16000000000008</v>
      </c>
    </row>
    <row r="25" spans="1:11" ht="15.75" customHeight="1">
      <c r="A25" s="61">
        <v>19</v>
      </c>
      <c r="B25" s="61"/>
      <c r="C25" s="61"/>
      <c r="D25" s="61"/>
      <c r="E25" s="61"/>
      <c r="F25" s="61">
        <v>3</v>
      </c>
      <c r="G25" s="62">
        <v>144.78</v>
      </c>
      <c r="H25" s="61">
        <v>11</v>
      </c>
      <c r="I25" s="62">
        <v>531.19000000000005</v>
      </c>
      <c r="J25" s="61">
        <v>14</v>
      </c>
      <c r="K25" s="62">
        <v>675.97</v>
      </c>
    </row>
    <row r="26" spans="1:11" ht="15.75" customHeight="1">
      <c r="A26" s="61">
        <v>20</v>
      </c>
      <c r="B26" s="61"/>
      <c r="C26" s="61"/>
      <c r="D26" s="61"/>
      <c r="E26" s="61"/>
      <c r="F26" s="61">
        <v>6</v>
      </c>
      <c r="G26" s="62">
        <v>321.73</v>
      </c>
      <c r="H26" s="61">
        <v>12</v>
      </c>
      <c r="I26" s="62">
        <v>779.14999999999986</v>
      </c>
      <c r="J26" s="61">
        <v>18</v>
      </c>
      <c r="K26" s="62">
        <v>1100.8799999999999</v>
      </c>
    </row>
    <row r="27" spans="1:11" ht="15.75" customHeight="1">
      <c r="A27" s="61">
        <v>21</v>
      </c>
      <c r="B27" s="61"/>
      <c r="C27" s="61"/>
      <c r="D27" s="61"/>
      <c r="E27" s="61"/>
      <c r="F27" s="61"/>
      <c r="G27" s="61"/>
      <c r="H27" s="61">
        <v>10</v>
      </c>
      <c r="I27" s="62">
        <v>573.63</v>
      </c>
      <c r="J27" s="61">
        <v>10</v>
      </c>
      <c r="K27" s="62">
        <v>573.63</v>
      </c>
    </row>
    <row r="28" spans="1:11" ht="15.75" customHeight="1">
      <c r="A28" s="61">
        <v>22</v>
      </c>
      <c r="B28" s="61"/>
      <c r="C28" s="61"/>
      <c r="D28" s="61"/>
      <c r="E28" s="61"/>
      <c r="F28" s="61">
        <v>5</v>
      </c>
      <c r="G28" s="62">
        <v>237.97000000000003</v>
      </c>
      <c r="H28" s="61">
        <v>10</v>
      </c>
      <c r="I28" s="62">
        <v>743.33</v>
      </c>
      <c r="J28" s="61">
        <v>15</v>
      </c>
      <c r="K28" s="62">
        <v>981.30000000000007</v>
      </c>
    </row>
    <row r="29" spans="1:11" ht="15.75" customHeight="1">
      <c r="A29" s="61">
        <v>23</v>
      </c>
      <c r="B29" s="61"/>
      <c r="C29" s="61"/>
      <c r="D29" s="61"/>
      <c r="E29" s="61"/>
      <c r="F29" s="61">
        <v>8</v>
      </c>
      <c r="G29" s="62">
        <v>431.18</v>
      </c>
      <c r="H29" s="61">
        <v>7</v>
      </c>
      <c r="I29" s="62">
        <v>415.29999999999995</v>
      </c>
      <c r="J29" s="61">
        <v>15</v>
      </c>
      <c r="K29" s="62">
        <v>846.48</v>
      </c>
    </row>
    <row r="30" spans="1:11" ht="15.75" customHeight="1">
      <c r="A30" s="61">
        <v>24</v>
      </c>
      <c r="B30" s="61"/>
      <c r="C30" s="61"/>
      <c r="D30" s="61"/>
      <c r="E30" s="61"/>
      <c r="F30" s="61">
        <v>10</v>
      </c>
      <c r="G30" s="62">
        <v>613.91</v>
      </c>
      <c r="H30" s="61">
        <v>14</v>
      </c>
      <c r="I30" s="62">
        <v>878.62000000000012</v>
      </c>
      <c r="J30" s="61">
        <v>24</v>
      </c>
      <c r="K30" s="62">
        <v>1492.53</v>
      </c>
    </row>
    <row r="31" spans="1:11" ht="15.75" customHeight="1">
      <c r="A31" s="61">
        <v>25</v>
      </c>
      <c r="B31" s="61"/>
      <c r="C31" s="61"/>
      <c r="D31" s="61"/>
      <c r="E31" s="61"/>
      <c r="F31" s="61">
        <v>5</v>
      </c>
      <c r="G31" s="62">
        <v>317.40999999999997</v>
      </c>
      <c r="H31" s="61">
        <v>18</v>
      </c>
      <c r="I31" s="62">
        <v>1028.4100000000001</v>
      </c>
      <c r="J31" s="61">
        <v>23</v>
      </c>
      <c r="K31" s="62">
        <v>1345.82</v>
      </c>
    </row>
    <row r="32" spans="1:11" ht="15.75" customHeight="1">
      <c r="A32" s="61">
        <v>26</v>
      </c>
      <c r="B32" s="61"/>
      <c r="C32" s="61"/>
      <c r="D32" s="61"/>
      <c r="E32" s="61"/>
      <c r="F32" s="61">
        <v>10</v>
      </c>
      <c r="G32" s="62">
        <v>543.12999999999988</v>
      </c>
      <c r="H32" s="61">
        <v>11</v>
      </c>
      <c r="I32" s="62">
        <v>719.24000000000012</v>
      </c>
      <c r="J32" s="61">
        <v>21</v>
      </c>
      <c r="K32" s="62">
        <v>1262.3699999999999</v>
      </c>
    </row>
    <row r="33" spans="1:11" ht="15.75" customHeight="1">
      <c r="A33" s="61">
        <v>27</v>
      </c>
      <c r="B33" s="61"/>
      <c r="C33" s="61"/>
      <c r="D33" s="61"/>
      <c r="E33" s="61"/>
      <c r="F33" s="61">
        <v>7</v>
      </c>
      <c r="G33" s="62">
        <v>354.29999999999995</v>
      </c>
      <c r="H33" s="61">
        <v>10</v>
      </c>
      <c r="I33" s="62">
        <v>570.93000000000006</v>
      </c>
      <c r="J33" s="61">
        <v>17</v>
      </c>
      <c r="K33" s="62">
        <v>925.23</v>
      </c>
    </row>
    <row r="34" spans="1:11" ht="15.75" customHeight="1">
      <c r="A34" s="61">
        <v>28</v>
      </c>
      <c r="B34" s="61"/>
      <c r="C34" s="61"/>
      <c r="D34" s="61"/>
      <c r="E34" s="61"/>
      <c r="F34" s="61">
        <v>9</v>
      </c>
      <c r="G34" s="62">
        <v>484.48999999999995</v>
      </c>
      <c r="H34" s="61">
        <v>8</v>
      </c>
      <c r="I34" s="62">
        <v>481.02</v>
      </c>
      <c r="J34" s="61">
        <v>17</v>
      </c>
      <c r="K34" s="62">
        <v>965.51</v>
      </c>
    </row>
    <row r="35" spans="1:11" ht="15.75" customHeight="1">
      <c r="A35" s="61">
        <v>29</v>
      </c>
      <c r="B35" s="61"/>
      <c r="C35" s="61"/>
      <c r="D35" s="61"/>
      <c r="E35" s="61"/>
      <c r="F35" s="61">
        <v>5</v>
      </c>
      <c r="G35" s="62">
        <v>225.95999999999998</v>
      </c>
      <c r="H35" s="61">
        <v>11</v>
      </c>
      <c r="I35" s="62">
        <v>541.62000000000012</v>
      </c>
      <c r="J35" s="61">
        <v>16</v>
      </c>
      <c r="K35" s="62">
        <v>767.57999999999981</v>
      </c>
    </row>
    <row r="36" spans="1:11" ht="15.75" customHeight="1">
      <c r="A36" s="61">
        <v>30</v>
      </c>
      <c r="B36" s="61"/>
      <c r="C36" s="61"/>
      <c r="D36" s="61"/>
      <c r="E36" s="61"/>
      <c r="F36" s="61">
        <v>8</v>
      </c>
      <c r="G36" s="62">
        <v>432.29999999999995</v>
      </c>
      <c r="H36" s="61">
        <v>10</v>
      </c>
      <c r="I36" s="62">
        <v>519.32999999999993</v>
      </c>
      <c r="J36" s="61">
        <v>18</v>
      </c>
      <c r="K36" s="62">
        <v>951.63000000000011</v>
      </c>
    </row>
    <row r="37" spans="1:11" ht="15.75" customHeight="1">
      <c r="A37" s="61">
        <v>31</v>
      </c>
      <c r="B37" s="61"/>
      <c r="C37" s="61"/>
      <c r="D37" s="61"/>
      <c r="E37" s="61"/>
      <c r="F37" s="61">
        <v>11</v>
      </c>
      <c r="G37" s="62">
        <v>472.2</v>
      </c>
      <c r="H37" s="61">
        <v>8</v>
      </c>
      <c r="I37" s="62">
        <v>525.25</v>
      </c>
      <c r="J37" s="61">
        <v>19</v>
      </c>
      <c r="K37" s="62">
        <v>997.45</v>
      </c>
    </row>
    <row r="38" spans="1:11" ht="15.75" customHeight="1">
      <c r="A38" s="61">
        <v>32</v>
      </c>
      <c r="B38" s="61"/>
      <c r="C38" s="61"/>
      <c r="D38" s="61"/>
      <c r="E38" s="61"/>
      <c r="F38" s="61"/>
      <c r="G38" s="61"/>
      <c r="H38" s="61">
        <v>11</v>
      </c>
      <c r="I38" s="62">
        <v>742.90999999999985</v>
      </c>
      <c r="J38" s="61">
        <v>11</v>
      </c>
      <c r="K38" s="62">
        <v>742.90999999999985</v>
      </c>
    </row>
    <row r="39" spans="1:11" ht="15.75" customHeight="1">
      <c r="A39" s="61">
        <v>33</v>
      </c>
      <c r="B39" s="61"/>
      <c r="C39" s="61"/>
      <c r="D39" s="61"/>
      <c r="E39" s="61"/>
      <c r="F39" s="61">
        <v>4</v>
      </c>
      <c r="G39" s="62">
        <v>240.17</v>
      </c>
      <c r="H39" s="61">
        <v>4</v>
      </c>
      <c r="I39" s="62">
        <v>304.17</v>
      </c>
      <c r="J39" s="61">
        <v>8</v>
      </c>
      <c r="K39" s="62">
        <v>544.34</v>
      </c>
    </row>
    <row r="40" spans="1:11" ht="15.75" customHeight="1">
      <c r="A40" s="61">
        <v>34</v>
      </c>
      <c r="B40" s="61"/>
      <c r="C40" s="61"/>
      <c r="D40" s="61"/>
      <c r="E40" s="61"/>
      <c r="F40" s="61">
        <v>8</v>
      </c>
      <c r="G40" s="62">
        <v>403.3</v>
      </c>
      <c r="H40" s="61">
        <v>6</v>
      </c>
      <c r="I40" s="62">
        <v>299.14999999999998</v>
      </c>
      <c r="J40" s="61">
        <v>14</v>
      </c>
      <c r="K40" s="62">
        <v>702.44999999999993</v>
      </c>
    </row>
    <row r="41" spans="1:11" ht="15.75" customHeight="1">
      <c r="A41" s="61">
        <v>35</v>
      </c>
      <c r="B41" s="61"/>
      <c r="C41" s="61"/>
      <c r="D41" s="61"/>
      <c r="E41" s="61"/>
      <c r="F41" s="61">
        <v>7</v>
      </c>
      <c r="G41" s="62">
        <v>455.74</v>
      </c>
      <c r="H41" s="61">
        <v>9</v>
      </c>
      <c r="I41" s="62">
        <v>639.66</v>
      </c>
      <c r="J41" s="61">
        <v>16</v>
      </c>
      <c r="K41" s="62">
        <v>1095.3999999999999</v>
      </c>
    </row>
    <row r="42" spans="1:11" ht="15.75" customHeight="1">
      <c r="A42" s="61">
        <v>36</v>
      </c>
      <c r="B42" s="61"/>
      <c r="C42" s="61"/>
      <c r="D42" s="61"/>
      <c r="E42" s="61"/>
      <c r="F42" s="61">
        <v>8</v>
      </c>
      <c r="G42" s="62">
        <v>464.26</v>
      </c>
      <c r="H42" s="61">
        <v>11</v>
      </c>
      <c r="I42" s="62">
        <v>729.20999999999992</v>
      </c>
      <c r="J42" s="61">
        <v>19</v>
      </c>
      <c r="K42" s="62">
        <v>1193.4699999999998</v>
      </c>
    </row>
    <row r="43" spans="1:11" ht="15.75" customHeight="1">
      <c r="A43" s="61">
        <v>37</v>
      </c>
      <c r="B43" s="61"/>
      <c r="C43" s="61"/>
      <c r="D43" s="61"/>
      <c r="E43" s="61"/>
      <c r="F43" s="61">
        <v>2</v>
      </c>
      <c r="G43" s="62">
        <v>92.210000000000008</v>
      </c>
      <c r="H43" s="61">
        <v>6</v>
      </c>
      <c r="I43" s="62">
        <v>338.86</v>
      </c>
      <c r="J43" s="61">
        <v>8</v>
      </c>
      <c r="K43" s="62">
        <v>431.07000000000005</v>
      </c>
    </row>
    <row r="44" spans="1:11" ht="15.75" customHeight="1">
      <c r="A44" s="61">
        <v>38</v>
      </c>
      <c r="B44" s="61"/>
      <c r="C44" s="61"/>
      <c r="D44" s="61"/>
      <c r="E44" s="61"/>
      <c r="F44" s="61">
        <v>10</v>
      </c>
      <c r="G44" s="62">
        <v>568.76</v>
      </c>
      <c r="H44" s="61">
        <v>9</v>
      </c>
      <c r="I44" s="62">
        <v>526.25</v>
      </c>
      <c r="J44" s="61">
        <v>19</v>
      </c>
      <c r="K44" s="62">
        <v>1095.01</v>
      </c>
    </row>
    <row r="45" spans="1:11" ht="15.75" customHeight="1">
      <c r="A45" s="61">
        <v>39</v>
      </c>
      <c r="B45" s="61"/>
      <c r="C45" s="61"/>
      <c r="D45" s="61"/>
      <c r="E45" s="61"/>
      <c r="F45" s="61">
        <v>4</v>
      </c>
      <c r="G45" s="62">
        <v>205.61</v>
      </c>
      <c r="H45" s="61">
        <v>5</v>
      </c>
      <c r="I45" s="62">
        <v>311.79000000000002</v>
      </c>
      <c r="J45" s="61">
        <v>9</v>
      </c>
      <c r="K45" s="62">
        <v>517.4</v>
      </c>
    </row>
    <row r="46" spans="1:11" ht="15.75" customHeight="1">
      <c r="A46" s="61">
        <v>40</v>
      </c>
      <c r="B46" s="61"/>
      <c r="C46" s="61"/>
      <c r="D46" s="61"/>
      <c r="E46" s="61"/>
      <c r="F46" s="61">
        <v>2</v>
      </c>
      <c r="G46" s="62">
        <v>72.89</v>
      </c>
      <c r="H46" s="61">
        <v>6</v>
      </c>
      <c r="I46" s="62">
        <v>433.92</v>
      </c>
      <c r="J46" s="61">
        <v>8</v>
      </c>
      <c r="K46" s="62">
        <v>506.81</v>
      </c>
    </row>
    <row r="47" spans="1:11" ht="15.75" customHeight="1">
      <c r="A47" s="61">
        <v>41</v>
      </c>
      <c r="B47" s="61"/>
      <c r="C47" s="61"/>
      <c r="D47" s="61"/>
      <c r="E47" s="61"/>
      <c r="F47" s="61">
        <v>4</v>
      </c>
      <c r="G47" s="62">
        <v>212.70999999999998</v>
      </c>
      <c r="H47" s="61">
        <v>7</v>
      </c>
      <c r="I47" s="62">
        <v>547.75</v>
      </c>
      <c r="J47" s="61">
        <v>11</v>
      </c>
      <c r="K47" s="62">
        <v>760.45999999999992</v>
      </c>
    </row>
    <row r="48" spans="1:11" ht="15.75" customHeight="1">
      <c r="A48" s="61">
        <v>42</v>
      </c>
      <c r="B48" s="61"/>
      <c r="C48" s="61"/>
      <c r="D48" s="61"/>
      <c r="E48" s="61"/>
      <c r="F48" s="61">
        <v>3</v>
      </c>
      <c r="G48" s="62">
        <v>205</v>
      </c>
      <c r="H48" s="61">
        <v>7</v>
      </c>
      <c r="I48" s="62">
        <v>411.21000000000004</v>
      </c>
      <c r="J48" s="61">
        <v>10</v>
      </c>
      <c r="K48" s="62">
        <v>616.21</v>
      </c>
    </row>
    <row r="49" spans="1:11" ht="15.75" customHeight="1">
      <c r="A49" s="61">
        <v>43</v>
      </c>
      <c r="B49" s="61"/>
      <c r="C49" s="61"/>
      <c r="D49" s="61"/>
      <c r="E49" s="61"/>
      <c r="F49" s="61">
        <v>5</v>
      </c>
      <c r="G49" s="62">
        <v>271.22000000000003</v>
      </c>
      <c r="H49" s="61">
        <v>5</v>
      </c>
      <c r="I49" s="62">
        <v>229.98</v>
      </c>
      <c r="J49" s="61">
        <v>10</v>
      </c>
      <c r="K49" s="62">
        <v>501.20000000000005</v>
      </c>
    </row>
    <row r="50" spans="1:11" ht="15.75" customHeight="1">
      <c r="A50" s="61">
        <v>44</v>
      </c>
      <c r="B50" s="61"/>
      <c r="C50" s="61"/>
      <c r="D50" s="61"/>
      <c r="E50" s="61"/>
      <c r="F50" s="61">
        <v>2</v>
      </c>
      <c r="G50" s="62">
        <v>173.57</v>
      </c>
      <c r="H50" s="61">
        <v>4</v>
      </c>
      <c r="I50" s="62">
        <v>293.58000000000004</v>
      </c>
      <c r="J50" s="61">
        <v>6</v>
      </c>
      <c r="K50" s="62">
        <v>467.15000000000003</v>
      </c>
    </row>
    <row r="51" spans="1:11" ht="15.75" customHeight="1">
      <c r="A51" s="61">
        <v>45</v>
      </c>
      <c r="B51" s="61"/>
      <c r="C51" s="61"/>
      <c r="D51" s="61"/>
      <c r="E51" s="61"/>
      <c r="F51" s="61">
        <v>2</v>
      </c>
      <c r="G51" s="62">
        <v>96.52</v>
      </c>
      <c r="H51" s="61">
        <v>2</v>
      </c>
      <c r="I51" s="62">
        <v>132.71</v>
      </c>
      <c r="J51" s="61">
        <v>4</v>
      </c>
      <c r="K51" s="62">
        <v>229.23000000000002</v>
      </c>
    </row>
    <row r="52" spans="1:11" ht="15.75" customHeight="1">
      <c r="A52" s="61">
        <v>46</v>
      </c>
      <c r="B52" s="61"/>
      <c r="C52" s="61"/>
      <c r="D52" s="61"/>
      <c r="E52" s="61"/>
      <c r="F52" s="61">
        <v>2</v>
      </c>
      <c r="G52" s="62">
        <v>110.18</v>
      </c>
      <c r="H52" s="61">
        <v>5</v>
      </c>
      <c r="I52" s="62">
        <v>386.59999999999997</v>
      </c>
      <c r="J52" s="61">
        <v>7</v>
      </c>
      <c r="K52" s="62">
        <v>496.78</v>
      </c>
    </row>
    <row r="53" spans="1:11" ht="15.75" customHeight="1">
      <c r="A53" s="61">
        <v>47</v>
      </c>
      <c r="B53" s="61"/>
      <c r="C53" s="61"/>
      <c r="D53" s="61"/>
      <c r="E53" s="61"/>
      <c r="F53" s="61">
        <v>5</v>
      </c>
      <c r="G53" s="62">
        <v>284.71999999999997</v>
      </c>
      <c r="H53" s="61">
        <v>2</v>
      </c>
      <c r="I53" s="62">
        <v>95</v>
      </c>
      <c r="J53" s="61">
        <v>7</v>
      </c>
      <c r="K53" s="62">
        <v>379.71999999999997</v>
      </c>
    </row>
    <row r="54" spans="1:11" ht="15.75" customHeight="1">
      <c r="A54" s="61">
        <v>48</v>
      </c>
      <c r="B54" s="61"/>
      <c r="C54" s="61"/>
      <c r="D54" s="61"/>
      <c r="E54" s="61"/>
      <c r="F54" s="61">
        <v>2</v>
      </c>
      <c r="G54" s="62">
        <v>113.47</v>
      </c>
      <c r="H54" s="61">
        <v>7</v>
      </c>
      <c r="I54" s="62">
        <v>352.4</v>
      </c>
      <c r="J54" s="61">
        <v>9</v>
      </c>
      <c r="K54" s="62">
        <v>465.87</v>
      </c>
    </row>
    <row r="55" spans="1:11" ht="15.75" customHeight="1">
      <c r="A55" s="61">
        <v>49</v>
      </c>
      <c r="B55" s="61"/>
      <c r="C55" s="61"/>
      <c r="D55" s="61"/>
      <c r="E55" s="61"/>
      <c r="F55" s="61">
        <v>1</v>
      </c>
      <c r="G55" s="62">
        <v>48.26</v>
      </c>
      <c r="H55" s="61">
        <v>4</v>
      </c>
      <c r="I55" s="62">
        <v>207.24</v>
      </c>
      <c r="J55" s="61">
        <v>5</v>
      </c>
      <c r="K55" s="62">
        <v>255.5</v>
      </c>
    </row>
    <row r="56" spans="1:11" ht="15.75" customHeight="1">
      <c r="A56" s="61">
        <v>50</v>
      </c>
      <c r="B56" s="61"/>
      <c r="C56" s="61"/>
      <c r="D56" s="61"/>
      <c r="E56" s="61"/>
      <c r="F56" s="61"/>
      <c r="G56" s="61"/>
      <c r="H56" s="61">
        <v>5</v>
      </c>
      <c r="I56" s="62">
        <v>254.44</v>
      </c>
      <c r="J56" s="61">
        <v>5</v>
      </c>
      <c r="K56" s="62">
        <v>254.44</v>
      </c>
    </row>
    <row r="57" spans="1:11" ht="15.75" customHeight="1">
      <c r="A57" s="61">
        <v>51</v>
      </c>
      <c r="B57" s="61"/>
      <c r="C57" s="61"/>
      <c r="D57" s="61"/>
      <c r="E57" s="61"/>
      <c r="F57" s="61">
        <v>2</v>
      </c>
      <c r="G57" s="62">
        <v>119.58000000000001</v>
      </c>
      <c r="H57" s="61">
        <v>6</v>
      </c>
      <c r="I57" s="62">
        <v>392.12</v>
      </c>
      <c r="J57" s="61">
        <v>8</v>
      </c>
      <c r="K57" s="62">
        <v>511.7</v>
      </c>
    </row>
    <row r="58" spans="1:11" ht="15.75" customHeight="1">
      <c r="A58" s="61">
        <v>52</v>
      </c>
      <c r="B58" s="61"/>
      <c r="C58" s="61"/>
      <c r="D58" s="61"/>
      <c r="E58" s="61"/>
      <c r="F58" s="61">
        <v>1</v>
      </c>
      <c r="G58" s="62">
        <v>48.26</v>
      </c>
      <c r="H58" s="61">
        <v>3</v>
      </c>
      <c r="I58" s="62">
        <v>112.91999999999999</v>
      </c>
      <c r="J58" s="61">
        <v>4</v>
      </c>
      <c r="K58" s="62">
        <v>161.18</v>
      </c>
    </row>
    <row r="59" spans="1:11" ht="15.75" customHeight="1">
      <c r="A59" s="61">
        <v>53</v>
      </c>
      <c r="B59" s="61"/>
      <c r="C59" s="61"/>
      <c r="D59" s="61"/>
      <c r="E59" s="61"/>
      <c r="F59" s="61">
        <v>1</v>
      </c>
      <c r="G59" s="62">
        <v>48.26</v>
      </c>
      <c r="H59" s="61">
        <v>1</v>
      </c>
      <c r="I59" s="62">
        <v>99.96</v>
      </c>
      <c r="J59" s="61">
        <v>2</v>
      </c>
      <c r="K59" s="62">
        <v>148.22</v>
      </c>
    </row>
    <row r="60" spans="1:11" ht="15.75" customHeight="1">
      <c r="A60" s="61">
        <v>54</v>
      </c>
      <c r="B60" s="61"/>
      <c r="C60" s="61"/>
      <c r="D60" s="61"/>
      <c r="E60" s="61"/>
      <c r="F60" s="61">
        <v>2</v>
      </c>
      <c r="G60" s="62">
        <v>92.35</v>
      </c>
      <c r="H60" s="61">
        <v>1</v>
      </c>
      <c r="I60" s="62">
        <v>67.069999999999993</v>
      </c>
      <c r="J60" s="61">
        <v>3</v>
      </c>
      <c r="K60" s="62">
        <v>159.41999999999999</v>
      </c>
    </row>
    <row r="61" spans="1:11" ht="15.75" customHeight="1">
      <c r="A61" s="61">
        <v>55</v>
      </c>
      <c r="B61" s="61"/>
      <c r="C61" s="61"/>
      <c r="D61" s="61"/>
      <c r="E61" s="61"/>
      <c r="F61" s="61"/>
      <c r="G61" s="61"/>
      <c r="H61" s="61">
        <v>1</v>
      </c>
      <c r="I61" s="62">
        <v>72.78</v>
      </c>
      <c r="J61" s="61">
        <v>1</v>
      </c>
      <c r="K61" s="62">
        <v>72.78</v>
      </c>
    </row>
    <row r="62" spans="1:11" ht="15.75" customHeight="1">
      <c r="A62" s="61">
        <v>56</v>
      </c>
      <c r="B62" s="61"/>
      <c r="C62" s="61"/>
      <c r="D62" s="61"/>
      <c r="E62" s="61"/>
      <c r="F62" s="61"/>
      <c r="G62" s="61"/>
      <c r="H62" s="61">
        <v>1</v>
      </c>
      <c r="I62" s="62">
        <v>67.02</v>
      </c>
      <c r="J62" s="61">
        <v>1</v>
      </c>
      <c r="K62" s="62">
        <v>67.02</v>
      </c>
    </row>
    <row r="63" spans="1:11" ht="15.75" customHeight="1">
      <c r="A63" s="61">
        <v>57</v>
      </c>
      <c r="B63" s="61"/>
      <c r="C63" s="61"/>
      <c r="D63" s="61"/>
      <c r="E63" s="61"/>
      <c r="F63" s="61"/>
      <c r="G63" s="61"/>
      <c r="H63" s="61">
        <v>4</v>
      </c>
      <c r="I63" s="62">
        <v>196.31</v>
      </c>
      <c r="J63" s="61">
        <v>4</v>
      </c>
      <c r="K63" s="62">
        <v>196.31</v>
      </c>
    </row>
    <row r="64" spans="1:11" ht="15.75" customHeight="1">
      <c r="A64" s="61">
        <v>58</v>
      </c>
      <c r="B64" s="61"/>
      <c r="C64" s="61"/>
      <c r="D64" s="61"/>
      <c r="E64" s="61"/>
      <c r="F64" s="61">
        <v>1</v>
      </c>
      <c r="G64" s="62">
        <v>48.26</v>
      </c>
      <c r="H64" s="61"/>
      <c r="I64" s="61"/>
      <c r="J64" s="61">
        <v>1</v>
      </c>
      <c r="K64" s="62">
        <v>48.26</v>
      </c>
    </row>
    <row r="65" spans="1:11" ht="15.75" customHeight="1">
      <c r="A65" s="61">
        <v>59</v>
      </c>
      <c r="B65" s="61"/>
      <c r="C65" s="61"/>
      <c r="D65" s="61"/>
      <c r="E65" s="61"/>
      <c r="F65" s="61">
        <v>1</v>
      </c>
      <c r="G65" s="62">
        <v>42.33</v>
      </c>
      <c r="H65" s="61"/>
      <c r="I65" s="61"/>
      <c r="J65" s="61">
        <v>1</v>
      </c>
      <c r="K65" s="62">
        <v>42.33</v>
      </c>
    </row>
    <row r="66" spans="1:11" ht="15.75" customHeight="1">
      <c r="A66" s="61">
        <v>60</v>
      </c>
      <c r="B66" s="61"/>
      <c r="C66" s="61"/>
      <c r="D66" s="61"/>
      <c r="E66" s="61"/>
      <c r="F66" s="61">
        <v>1</v>
      </c>
      <c r="G66" s="62">
        <v>46.24</v>
      </c>
      <c r="H66" s="61"/>
      <c r="I66" s="61"/>
      <c r="J66" s="61">
        <v>1</v>
      </c>
      <c r="K66" s="62">
        <v>46.24</v>
      </c>
    </row>
    <row r="67" spans="1:11" ht="15.75" customHeight="1">
      <c r="A67" s="61">
        <v>62</v>
      </c>
      <c r="B67" s="61"/>
      <c r="C67" s="61"/>
      <c r="D67" s="61"/>
      <c r="E67" s="61"/>
      <c r="F67" s="61">
        <v>1</v>
      </c>
      <c r="G67" s="62">
        <v>48.26</v>
      </c>
      <c r="H67" s="61"/>
      <c r="I67" s="61"/>
      <c r="J67" s="61">
        <v>1</v>
      </c>
      <c r="K67" s="62">
        <v>48.26</v>
      </c>
    </row>
    <row r="68" spans="1:11" ht="15.75" customHeight="1">
      <c r="A68" s="61">
        <v>63</v>
      </c>
      <c r="B68" s="61"/>
      <c r="C68" s="61"/>
      <c r="D68" s="61"/>
      <c r="E68" s="61"/>
      <c r="F68" s="61">
        <v>1</v>
      </c>
      <c r="G68" s="62">
        <v>39.17</v>
      </c>
      <c r="H68" s="61"/>
      <c r="I68" s="61"/>
      <c r="J68" s="61">
        <v>1</v>
      </c>
      <c r="K68" s="62">
        <v>39.17</v>
      </c>
    </row>
    <row r="69" spans="1:11" ht="15.75" customHeight="1">
      <c r="A69" s="61">
        <v>64</v>
      </c>
      <c r="B69" s="61"/>
      <c r="C69" s="61"/>
      <c r="D69" s="61"/>
      <c r="E69" s="61"/>
      <c r="F69" s="61"/>
      <c r="G69" s="61"/>
      <c r="H69" s="61">
        <v>1</v>
      </c>
      <c r="I69" s="62">
        <v>89.18</v>
      </c>
      <c r="J69" s="61">
        <v>1</v>
      </c>
      <c r="K69" s="62">
        <v>89.18</v>
      </c>
    </row>
    <row r="70" spans="1:11" ht="15.75" customHeight="1">
      <c r="A70" s="61">
        <v>67</v>
      </c>
      <c r="B70" s="61"/>
      <c r="C70" s="61"/>
      <c r="D70" s="61"/>
      <c r="E70" s="61"/>
      <c r="F70" s="61">
        <v>2</v>
      </c>
      <c r="G70" s="62">
        <v>118.47999999999999</v>
      </c>
      <c r="H70" s="61"/>
      <c r="I70" s="61"/>
      <c r="J70" s="61">
        <v>2</v>
      </c>
      <c r="K70" s="62">
        <v>118.47999999999999</v>
      </c>
    </row>
    <row r="71" spans="1:11" ht="15.75" customHeight="1">
      <c r="A71" s="61">
        <v>68</v>
      </c>
      <c r="B71" s="61"/>
      <c r="C71" s="61"/>
      <c r="D71" s="61"/>
      <c r="E71" s="61"/>
      <c r="F71" s="61"/>
      <c r="G71" s="61"/>
      <c r="H71" s="61">
        <v>1</v>
      </c>
      <c r="I71" s="62">
        <v>23.31</v>
      </c>
      <c r="J71" s="61">
        <v>1</v>
      </c>
      <c r="K71" s="62">
        <v>23.31</v>
      </c>
    </row>
    <row r="72" spans="1:11" ht="15.75" customHeight="1">
      <c r="A72" s="61">
        <v>74</v>
      </c>
      <c r="B72" s="61"/>
      <c r="C72" s="61"/>
      <c r="D72" s="61"/>
      <c r="E72" s="61"/>
      <c r="F72" s="61"/>
      <c r="G72" s="61"/>
      <c r="H72" s="61">
        <v>1</v>
      </c>
      <c r="I72" s="62">
        <v>55.63</v>
      </c>
      <c r="J72" s="61">
        <v>1</v>
      </c>
      <c r="K72" s="62">
        <v>55.63</v>
      </c>
    </row>
    <row r="73" spans="1:11" ht="15.75" customHeight="1">
      <c r="A73" s="61" t="s">
        <v>27</v>
      </c>
      <c r="B73" s="61"/>
      <c r="C73" s="61"/>
      <c r="D73" s="61">
        <v>0</v>
      </c>
      <c r="E73" s="63">
        <v>0</v>
      </c>
      <c r="F73" s="61"/>
      <c r="G73" s="61"/>
      <c r="H73" s="61"/>
      <c r="I73" s="61"/>
      <c r="J73" s="47">
        <v>0</v>
      </c>
      <c r="K73" s="57">
        <v>0</v>
      </c>
    </row>
    <row r="74" spans="1:11" ht="15.75" customHeight="1">
      <c r="A74" s="61" t="s">
        <v>32</v>
      </c>
      <c r="B74" s="61">
        <v>0</v>
      </c>
      <c r="C74" s="61">
        <v>0</v>
      </c>
      <c r="D74" s="61">
        <v>0</v>
      </c>
      <c r="E74" s="63">
        <v>0</v>
      </c>
      <c r="F74" s="61">
        <v>246</v>
      </c>
      <c r="G74" s="62">
        <v>13391.050000000019</v>
      </c>
      <c r="H74" s="61">
        <v>413</v>
      </c>
      <c r="I74" s="62">
        <v>24898.819999999996</v>
      </c>
      <c r="J74" s="61">
        <v>659</v>
      </c>
      <c r="K74" s="62">
        <v>38289.869999999908</v>
      </c>
    </row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2:K2"/>
  </mergeCells>
  <conditionalFormatting sqref="A2:J2">
    <cfRule type="notContainsBlanks" dxfId="0" priority="1">
      <formula>LEN(TRIM(A2))&gt;0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Graphiques</vt:lpstr>
      </vt:variant>
      <vt:variant>
        <vt:i4>1</vt:i4>
      </vt:variant>
    </vt:vector>
  </HeadingPairs>
  <TitlesOfParts>
    <vt:vector size="5" baseType="lpstr">
      <vt:lpstr>DASH BOARD GM</vt:lpstr>
      <vt:lpstr>DATA</vt:lpstr>
      <vt:lpstr>TOP 10</vt:lpstr>
      <vt:lpstr>Tableau Client x Catégorie</vt:lpstr>
      <vt:lpstr>Repartition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Fahima</cp:lastModifiedBy>
  <dcterms:created xsi:type="dcterms:W3CDTF">2023-08-05T15:36:34Z</dcterms:created>
  <dcterms:modified xsi:type="dcterms:W3CDTF">2023-08-05T15:36:34Z</dcterms:modified>
</cp:coreProperties>
</file>